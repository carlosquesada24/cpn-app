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 CARNES" sheetId="1" r:id="rId4"/>
    <sheet state="visible" name="INV MARISCOS" sheetId="2" r:id="rId5"/>
    <sheet state="visible" name="CONTEO MARISCOS" sheetId="3" r:id="rId6"/>
    <sheet state="visible" name="CONTEO CARNES" sheetId="4" r:id="rId7"/>
    <sheet state="visible" name="Hoja1" sheetId="5" r:id="rId8"/>
  </sheets>
  <definedNames/>
  <calcPr/>
  <extLst>
    <ext uri="GoogleSheetsCustomDataVersion2">
      <go:sheetsCustomData xmlns:go="http://customooxmlschemas.google.com/" r:id="rId9" roundtripDataChecksum="zE/VwF+kLIJPUUHuhvj7AtfXLdlhz7KfCksph5NCun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======
ID#AAABmaBt7XQ
Carlos Quesada    (2025-06-27 20:26:58)
Acá va un número entero? de  gramos o porciones?</t>
      </text>
    </comment>
    <comment authorId="0" ref="D9">
      <text>
        <t xml:space="preserve">======
ID#AAABmaBt7XI
Carlos Quesada    (2025-06-27 20:16:00)
Esta merma es de este periodo o del periodo anterior del: "INVENTARIO COCINA - conteo"?</t>
      </text>
    </comment>
    <comment authorId="0" ref="D4">
      <text>
        <t xml:space="preserve">======
ID#AAABmaBt7XE
Carlos Quesada    (2025-06-27 20:14:39)
Porqué acá está como: "Ficha de ingreso", si en las filas de abajo está: merma y ventas (que son egresos)?
Creo que es acá donde se registra el inventario de ingreso de los proveedores por la tabla de la derecha con: proveedor 1 y proveedor 2</t>
      </text>
    </comment>
    <comment authorId="0" ref="B21">
      <text>
        <t xml:space="preserve">======
ID#AAABmaBt7XA
Carlos Quesada    (2025-06-27 20:12:50)
¿Cuál es la diferencia entre estas 2 columnas de inventarios totales?</t>
      </text>
    </comment>
    <comment authorId="0" ref="L3">
      <text>
        <t xml:space="preserve">======
ID#AAABmaBt7W4
Carlos Quesada    (2025-06-27 20:09:43)
¿Esta es la que se usa actualmente o es la otra de la tabla de la izquierda? (Veo que esta tiene para múltiples proveedores)</t>
      </text>
    </comment>
  </commentList>
  <extLst>
    <ext uri="GoogleSheetsCustomDataVersion2">
      <go:sheetsCustomData xmlns:go="http://customooxmlschemas.google.com/" r:id="rId1" roundtripDataSignature="AMtx7mh5ONYa1fRLbxlOsJOcsZ/JkJawiQ=="/>
    </ext>
  </extLst>
</comments>
</file>

<file path=xl/sharedStrings.xml><?xml version="1.0" encoding="utf-8"?>
<sst xmlns="http://schemas.openxmlformats.org/spreadsheetml/2006/main" count="251" uniqueCount="137">
  <si>
    <t>CONTEO MIRCOLES 3 DE JULIO A LAS 8AM</t>
  </si>
  <si>
    <t>FECHA:</t>
  </si>
  <si>
    <t>INVENTARIO INICIAL</t>
  </si>
  <si>
    <t>PORCIONES</t>
  </si>
  <si>
    <t>TIPO DE CARNE</t>
  </si>
  <si>
    <t>LOMO SALTADO</t>
  </si>
  <si>
    <t>LOMITO</t>
  </si>
  <si>
    <t>FILET DE POLLO</t>
  </si>
  <si>
    <t>HAMBURGUESA</t>
  </si>
  <si>
    <t>ROYAL</t>
  </si>
  <si>
    <t>COTOLETA</t>
  </si>
  <si>
    <t>LOMO  SALTADO</t>
  </si>
  <si>
    <t>FICHA DE INGRESO</t>
  </si>
  <si>
    <t>PROVEEDOR 1</t>
  </si>
  <si>
    <t>PROVEDOR 2</t>
  </si>
  <si>
    <t>FECHA</t>
  </si>
  <si>
    <t>HAMBURGUESA NIÑOS</t>
  </si>
  <si>
    <t>KILOS</t>
  </si>
  <si>
    <t>RIB EYE</t>
  </si>
  <si>
    <t>MERMA EN GRAMOS</t>
  </si>
  <si>
    <t>DALMONICO</t>
  </si>
  <si>
    <t>FILET/PORCIONES</t>
  </si>
  <si>
    <t>CHURRASCO</t>
  </si>
  <si>
    <t>VENTA LUNES</t>
  </si>
  <si>
    <t>TOMAHAK</t>
  </si>
  <si>
    <t>VENTA MARTES</t>
  </si>
  <si>
    <t>TACOS CARNE</t>
  </si>
  <si>
    <t>VENTA MIERCOLES</t>
  </si>
  <si>
    <t>VENTA JUEVES</t>
  </si>
  <si>
    <t>VENTA VIERNES</t>
  </si>
  <si>
    <t>VENTA SABADO</t>
  </si>
  <si>
    <t>VENTA DOMINGO</t>
  </si>
  <si>
    <t>VENTAS TOTALES</t>
  </si>
  <si>
    <t>PRODUCTO</t>
  </si>
  <si>
    <t>TOTAL MERMA
 EN GRAMOS</t>
  </si>
  <si>
    <t>INVENTARIO TOTAL</t>
  </si>
  <si>
    <t>INVENTARIO 
TOTAL</t>
  </si>
  <si>
    <t>VENTAS
 TOTALES</t>
  </si>
  <si>
    <t>BALANCE</t>
  </si>
  <si>
    <t>CONTEO</t>
  </si>
  <si>
    <t>DIFERENCIA</t>
  </si>
  <si>
    <t>CONTEO MIRCOLES 7 DE AGOSTO 8AM</t>
  </si>
  <si>
    <t>DORADO</t>
  </si>
  <si>
    <t>MARLIN</t>
  </si>
  <si>
    <t>ATUN</t>
  </si>
  <si>
    <t>CAMARONES</t>
  </si>
  <si>
    <t>CALAMARES</t>
  </si>
  <si>
    <t>SALMON
TARTAR</t>
  </si>
  <si>
    <t>CAMARON
JUMBO</t>
  </si>
  <si>
    <t>CAMARON
JUVENIL</t>
  </si>
  <si>
    <t>CAMARON JUMBO</t>
  </si>
  <si>
    <t>FILET PESCADO</t>
  </si>
  <si>
    <t>SALMON TARTAR</t>
  </si>
  <si>
    <t>CAMARONES JUMBO</t>
  </si>
  <si>
    <t>CAMARONES JUVENILES</t>
  </si>
  <si>
    <t>DEDOS PESCADO</t>
  </si>
  <si>
    <t>CHICHARRON PESCADO</t>
  </si>
  <si>
    <t>TARTAR</t>
  </si>
  <si>
    <t>ARUN</t>
  </si>
  <si>
    <t>CAMARON JUVENIL</t>
  </si>
  <si>
    <t>LUNES</t>
  </si>
  <si>
    <t>MARTES</t>
  </si>
  <si>
    <t>MIÉRCOLES</t>
  </si>
  <si>
    <t>JUEVES</t>
  </si>
  <si>
    <t>VIERNES</t>
  </si>
  <si>
    <t>SÁBADO</t>
  </si>
  <si>
    <t>DOMINGO</t>
  </si>
  <si>
    <t>CANTIDAD
 DE PLATOS</t>
  </si>
  <si>
    <t>NOMBRE
 DEL PLATILLO</t>
  </si>
  <si>
    <t>CAMARON 
JUMBO</t>
  </si>
  <si>
    <t>JUMBO NARANJA</t>
  </si>
  <si>
    <t>LANGOSTA</t>
  </si>
  <si>
    <t>PULPO</t>
  </si>
  <si>
    <t>SALMON</t>
  </si>
  <si>
    <t>CAMARONES
JUVENILES</t>
  </si>
  <si>
    <t>TIRADITO CLASICO</t>
  </si>
  <si>
    <t>TIRADITO APALTADO</t>
  </si>
  <si>
    <t>TIADITO ESPECIAL</t>
  </si>
  <si>
    <t>TIRADITO EN SALSA DE AJI</t>
  </si>
  <si>
    <t>TUNA TARTARE</t>
  </si>
  <si>
    <t>CHICHARRON DE CALAMAR</t>
  </si>
  <si>
    <t>CEVICHE DE PESCADO</t>
  </si>
  <si>
    <t>CEVICHE MIXTO</t>
  </si>
  <si>
    <t>CEVICHE CPN</t>
  </si>
  <si>
    <t>TARTAR DE SALMON</t>
  </si>
  <si>
    <t>COCTEL DE CAMARONES</t>
  </si>
  <si>
    <t>CAUSA DE CAMARONES</t>
  </si>
  <si>
    <t>TUNA TERIYAKI</t>
  </si>
  <si>
    <t>ARROZ CON CAMARONES</t>
  </si>
  <si>
    <t>ARROZ CON MARISCOS</t>
  </si>
  <si>
    <t>FETTUCCINI CON CAMARONES</t>
  </si>
  <si>
    <t>PARIHUELA DE MARISCOS</t>
  </si>
  <si>
    <t>CASADO DE PESCADO</t>
  </si>
  <si>
    <t>CHORRILLANA</t>
  </si>
  <si>
    <t>CHICHARRON DE PESCADO</t>
  </si>
  <si>
    <t>CHICHARRON MIXTO</t>
  </si>
  <si>
    <t>PESCADO A LO MACHO</t>
  </si>
  <si>
    <t>ALCAPARRAS</t>
  </si>
  <si>
    <t>DORADO MARACUYA</t>
  </si>
  <si>
    <t>DORADO A LA NARANJA</t>
  </si>
  <si>
    <t>SURF TACOS DE PESCADO</t>
  </si>
  <si>
    <t>SURF TACOS DE CAMARONES</t>
  </si>
  <si>
    <t>CPN BURRITOS PESCADO</t>
  </si>
  <si>
    <t>CPN BURRITOS CAMARON</t>
  </si>
  <si>
    <t>DEDOS DE PESCADO CON PAPAS</t>
  </si>
  <si>
    <t>ORDEN DE CAMARONES</t>
  </si>
  <si>
    <t>FILET DE DORADO</t>
  </si>
  <si>
    <t>FILET DE ATUN</t>
  </si>
  <si>
    <t>PARGO</t>
  </si>
  <si>
    <t>SUSHI ATUNY CAMARONES</t>
  </si>
  <si>
    <t>SUSHI SALMON</t>
  </si>
  <si>
    <t>SUSHI DE ATUN</t>
  </si>
  <si>
    <t>ORDEN DE CALAMARES</t>
  </si>
  <si>
    <t>TOTAL</t>
  </si>
  <si>
    <t>FILET
 DE POLLO</t>
  </si>
  <si>
    <t>LOMO 
SALTADO</t>
  </si>
  <si>
    <t>CASADO DE POLLO</t>
  </si>
  <si>
    <t>CHAMPIGNON DE POLLO</t>
  </si>
  <si>
    <t>POLLO SALTADO</t>
  </si>
  <si>
    <t>FETTUCCINI BOLOGNESA</t>
  </si>
  <si>
    <t>CHAMPIGNON DE LOMO</t>
  </si>
  <si>
    <t>LOMO PIMIENTA VERDE</t>
  </si>
  <si>
    <t>POLLO PISTACHO</t>
  </si>
  <si>
    <t>ARROZ CHAUFA</t>
  </si>
  <si>
    <t>QUESOBURGUESA</t>
  </si>
  <si>
    <t>HAMBURGUESA FULL</t>
  </si>
  <si>
    <t>QUESADILLA DE POLLO</t>
  </si>
  <si>
    <t xml:space="preserve">SURF TACOS CARNE </t>
  </si>
  <si>
    <t>SURF TACOS POLLO</t>
  </si>
  <si>
    <t>CPN BURRITOS POLLO</t>
  </si>
  <si>
    <t>CPN BURRTO DE CARNE</t>
  </si>
  <si>
    <t>FILETE DE POLLO</t>
  </si>
  <si>
    <t>DEDOS DE POLLO</t>
  </si>
  <si>
    <t>PREMIUM BURGER PATTY 250GR</t>
  </si>
  <si>
    <t>CRISPY SANDWICH</t>
  </si>
  <si>
    <t xml:space="preserve">ROYAL </t>
  </si>
  <si>
    <t>DEDOS DE POLLO CON PAPAS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</si>
</sst>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sz val="12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6DCE4"/>
        <bgColor rgb="FFD6DCE4"/>
      </patternFill>
    </fill>
    <fill>
      <patternFill patternType="solid">
        <fgColor rgb="FFFF0000"/>
        <bgColor rgb="FFFF0000"/>
      </patternFill>
    </fill>
    <fill>
      <patternFill patternType="solid">
        <fgColor rgb="FFC8C8C8"/>
        <bgColor rgb="FFC8C8C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3" fillId="0" fontId="4" numFmtId="0" xfId="0" applyBorder="1" applyFont="1"/>
    <xf borderId="1" fillId="0" fontId="3" numFmtId="0" xfId="0" applyBorder="1" applyFont="1"/>
    <xf borderId="2" fillId="0" fontId="3" numFmtId="0" xfId="0" applyBorder="1" applyFont="1"/>
    <xf borderId="2" fillId="0" fontId="3" numFmtId="0" xfId="0" applyAlignment="1" applyBorder="1" applyFont="1">
      <alignment horizontal="center"/>
    </xf>
    <xf borderId="4" fillId="0" fontId="4" numFmtId="0" xfId="0" applyBorder="1" applyFont="1"/>
    <xf borderId="4" fillId="0" fontId="3" numFmtId="0" xfId="0" applyBorder="1" applyFont="1"/>
    <xf borderId="1" fillId="0" fontId="3" numFmtId="16" xfId="0" applyBorder="1" applyFont="1" applyNumberFormat="1"/>
    <xf borderId="1" fillId="2" fontId="3" numFmtId="0" xfId="0" applyBorder="1" applyFill="1" applyFont="1"/>
    <xf borderId="1" fillId="3" fontId="3" numFmtId="0" xfId="0" applyBorder="1" applyFill="1" applyFont="1"/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/>
    </xf>
    <xf borderId="1" fillId="2" fontId="2" numFmtId="0" xfId="0" applyBorder="1" applyFont="1"/>
    <xf borderId="5" fillId="4" fontId="3" numFmtId="0" xfId="0" applyBorder="1" applyFill="1" applyFont="1"/>
    <xf borderId="5" fillId="4" fontId="2" numFmtId="0" xfId="0" applyBorder="1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wrapText="1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horizontal="right" shrinkToFit="0" vertical="center" wrapText="1"/>
    </xf>
    <xf borderId="0" fillId="0" fontId="3" numFmtId="0" xfId="0" applyAlignment="1" applyFont="1">
      <alignment horizontal="left" vertical="center"/>
    </xf>
    <xf borderId="6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vertical="center"/>
    </xf>
    <xf borderId="8" fillId="0" fontId="4" numFmtId="0" xfId="0" applyBorder="1" applyFont="1"/>
    <xf borderId="9" fillId="0" fontId="4" numFmtId="0" xfId="0" applyBorder="1" applyFont="1"/>
    <xf borderId="6" fillId="0" fontId="3" numFmtId="0" xfId="0" applyBorder="1" applyFont="1"/>
    <xf borderId="10" fillId="2" fontId="3" numFmtId="0" xfId="0" applyBorder="1" applyFont="1"/>
    <xf borderId="10" fillId="3" fontId="3" numFmtId="0" xfId="0" applyBorder="1" applyFont="1"/>
    <xf borderId="10" fillId="2" fontId="2" numFmtId="0" xfId="0" applyBorder="1" applyFont="1"/>
    <xf borderId="1" fillId="4" fontId="2" numFmtId="0" xfId="0" applyBorder="1" applyFont="1"/>
    <xf borderId="1" fillId="3" fontId="2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left"/>
    </xf>
    <xf borderId="1" fillId="0" fontId="5" numFmtId="0" xfId="0" applyAlignment="1" applyBorder="1" applyFont="1">
      <alignment horizontal="left"/>
    </xf>
    <xf borderId="1" fillId="6" fontId="5" numFmtId="0" xfId="0" applyAlignment="1" applyBorder="1" applyFill="1" applyFont="1">
      <alignment horizontal="left"/>
    </xf>
    <xf borderId="1" fillId="4" fontId="3" numFmtId="0" xfId="0" applyBorder="1" applyFont="1"/>
    <xf borderId="1" fillId="7" fontId="5" numFmtId="0" xfId="0" applyAlignment="1" applyBorder="1" applyFill="1" applyFont="1">
      <alignment horizontal="left"/>
    </xf>
    <xf borderId="1" fillId="7" fontId="3" numFmtId="0" xfId="0" applyBorder="1" applyFont="1"/>
    <xf borderId="11" fillId="5" fontId="2" numFmtId="0" xfId="0" applyAlignment="1" applyBorder="1" applyFont="1">
      <alignment horizontal="center" shrinkToFit="0" vertical="center" wrapText="1"/>
    </xf>
    <xf borderId="11" fillId="5" fontId="2" numFmtId="0" xfId="0" applyAlignment="1" applyBorder="1" applyFont="1">
      <alignment horizontal="center" vertical="center"/>
    </xf>
    <xf borderId="10" fillId="5" fontId="2" numFmtId="0" xfId="0" applyAlignment="1" applyBorder="1" applyFont="1">
      <alignment horizontal="center" shrinkToFit="0" vertical="center" wrapText="1"/>
    </xf>
    <xf borderId="1" fillId="7" fontId="2" numFmtId="0" xfId="0" applyBorder="1" applyFont="1"/>
    <xf borderId="10" fillId="7" fontId="2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29"/>
    <col customWidth="1" min="2" max="2" width="26.29"/>
    <col customWidth="1" min="3" max="3" width="16.86"/>
    <col customWidth="1" min="4" max="5" width="24.14"/>
    <col customWidth="1" min="6" max="6" width="13.57"/>
    <col customWidth="1" min="7" max="7" width="15.29"/>
    <col customWidth="1" min="8" max="8" width="16.43"/>
    <col customWidth="1" min="9" max="9" width="16.57"/>
    <col customWidth="1" min="10" max="10" width="11.43"/>
    <col customWidth="1" min="11" max="11" width="24.0"/>
    <col customWidth="1" min="12" max="12" width="22.86"/>
    <col customWidth="1" min="13" max="13" width="20.14"/>
    <col customWidth="1" min="14" max="14" width="11.43"/>
    <col customWidth="1" min="15" max="15" width="15.29"/>
    <col customWidth="1" min="16" max="16" width="15.14"/>
    <col customWidth="1" min="17" max="17" width="14.14"/>
    <col customWidth="1" min="18" max="26" width="11.43"/>
  </cols>
  <sheetData>
    <row r="1" ht="14.25" customHeight="1">
      <c r="B1" s="1" t="s">
        <v>0</v>
      </c>
    </row>
    <row r="2" ht="14.25" customHeight="1">
      <c r="B2" s="2" t="s">
        <v>1</v>
      </c>
    </row>
    <row r="3" ht="14.25" customHeight="1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4" t="s">
        <v>8</v>
      </c>
      <c r="I3" s="4" t="s">
        <v>9</v>
      </c>
      <c r="J3" s="4"/>
      <c r="L3" s="3" t="s">
        <v>4</v>
      </c>
      <c r="M3" s="3" t="s">
        <v>5</v>
      </c>
      <c r="N3" s="3" t="s">
        <v>6</v>
      </c>
      <c r="O3" s="4" t="s">
        <v>7</v>
      </c>
      <c r="P3" s="4" t="s">
        <v>8</v>
      </c>
      <c r="Q3" s="4" t="s">
        <v>9</v>
      </c>
      <c r="R3" s="4" t="s">
        <v>10</v>
      </c>
    </row>
    <row r="4" ht="14.25" customHeight="1">
      <c r="B4" s="5" t="s">
        <v>11</v>
      </c>
      <c r="C4" s="3">
        <v>17.0</v>
      </c>
      <c r="D4" s="6" t="s">
        <v>12</v>
      </c>
      <c r="E4" s="6"/>
      <c r="F4" s="6"/>
      <c r="G4" s="6"/>
      <c r="H4" s="6"/>
      <c r="I4" s="6"/>
      <c r="J4" s="6"/>
      <c r="L4" s="3"/>
      <c r="M4" s="6"/>
      <c r="N4" s="6"/>
      <c r="O4" s="4"/>
      <c r="P4" s="4"/>
      <c r="Q4" s="4"/>
      <c r="R4" s="4"/>
    </row>
    <row r="5" ht="14.25" customHeight="1">
      <c r="B5" s="5" t="s">
        <v>6</v>
      </c>
      <c r="C5" s="7">
        <v>6.0</v>
      </c>
      <c r="D5" s="8"/>
      <c r="E5" s="8"/>
      <c r="F5" s="8"/>
      <c r="G5" s="8"/>
      <c r="H5" s="8"/>
      <c r="I5" s="8"/>
      <c r="J5" s="8"/>
      <c r="L5" s="9" t="s">
        <v>13</v>
      </c>
      <c r="M5" s="10"/>
      <c r="N5" s="11"/>
      <c r="O5" s="9"/>
      <c r="P5" s="9"/>
      <c r="Q5" s="9"/>
      <c r="R5" s="9"/>
    </row>
    <row r="6" ht="14.25" customHeight="1">
      <c r="B6" s="5" t="s">
        <v>7</v>
      </c>
      <c r="C6" s="7">
        <v>49.0</v>
      </c>
      <c r="D6" s="12"/>
      <c r="E6" s="12"/>
      <c r="F6" s="12"/>
      <c r="G6" s="12"/>
      <c r="H6" s="12"/>
      <c r="I6" s="12"/>
      <c r="J6" s="12"/>
      <c r="L6" s="9" t="s">
        <v>14</v>
      </c>
      <c r="M6" s="13"/>
      <c r="N6" s="12"/>
      <c r="O6" s="9"/>
      <c r="P6" s="9"/>
      <c r="Q6" s="9"/>
      <c r="R6" s="9"/>
    </row>
    <row r="7" ht="14.25" customHeight="1">
      <c r="B7" s="5" t="s">
        <v>8</v>
      </c>
      <c r="C7" s="7">
        <v>19.0</v>
      </c>
      <c r="D7" s="9" t="s">
        <v>15</v>
      </c>
      <c r="E7" s="14">
        <v>45512.0</v>
      </c>
      <c r="F7" s="14">
        <v>45512.0</v>
      </c>
      <c r="G7" s="9"/>
      <c r="H7" s="9"/>
      <c r="I7" s="9"/>
      <c r="J7" s="9"/>
      <c r="L7" s="9" t="s">
        <v>15</v>
      </c>
      <c r="M7" s="9"/>
      <c r="N7" s="9"/>
      <c r="O7" s="9"/>
      <c r="P7" s="9"/>
      <c r="Q7" s="9"/>
      <c r="R7" s="9"/>
    </row>
    <row r="8" ht="14.25" customHeight="1">
      <c r="B8" s="5" t="s">
        <v>16</v>
      </c>
      <c r="C8" s="7"/>
      <c r="D8" s="9" t="s">
        <v>17</v>
      </c>
      <c r="E8" s="9"/>
      <c r="F8" s="9"/>
      <c r="G8" s="9"/>
      <c r="H8" s="9"/>
      <c r="I8" s="9"/>
      <c r="J8" s="9"/>
      <c r="L8" s="9" t="s">
        <v>17</v>
      </c>
      <c r="M8" s="9"/>
      <c r="N8" s="9"/>
      <c r="O8" s="9"/>
      <c r="P8" s="9"/>
      <c r="Q8" s="9"/>
      <c r="R8" s="9"/>
    </row>
    <row r="9" ht="14.25" customHeight="1">
      <c r="B9" s="5" t="s">
        <v>18</v>
      </c>
      <c r="C9" s="7">
        <v>13.0</v>
      </c>
      <c r="D9" s="15" t="s">
        <v>19</v>
      </c>
      <c r="E9" s="15"/>
      <c r="F9" s="15"/>
      <c r="G9" s="15"/>
      <c r="H9" s="15"/>
      <c r="I9" s="15"/>
      <c r="J9" s="15"/>
      <c r="L9" s="15" t="s">
        <v>19</v>
      </c>
      <c r="M9" s="15"/>
      <c r="N9" s="15"/>
      <c r="O9" s="15"/>
      <c r="P9" s="15"/>
      <c r="Q9" s="15"/>
      <c r="R9" s="15"/>
    </row>
    <row r="10" ht="14.25" customHeight="1">
      <c r="B10" s="9" t="s">
        <v>20</v>
      </c>
      <c r="C10" s="7"/>
      <c r="D10" s="16" t="s">
        <v>21</v>
      </c>
      <c r="E10" s="16">
        <v>1.0</v>
      </c>
      <c r="F10" s="16">
        <v>9.0</v>
      </c>
      <c r="G10" s="16"/>
      <c r="H10" s="16"/>
      <c r="I10" s="16"/>
      <c r="J10" s="16"/>
      <c r="L10" s="16" t="s">
        <v>21</v>
      </c>
      <c r="M10" s="16"/>
      <c r="N10" s="16"/>
      <c r="O10" s="16"/>
      <c r="P10" s="16"/>
      <c r="Q10" s="16"/>
      <c r="R10" s="16"/>
    </row>
    <row r="11" ht="14.25" customHeight="1">
      <c r="B11" s="9" t="s">
        <v>22</v>
      </c>
      <c r="C11" s="7"/>
      <c r="D11" s="9" t="s">
        <v>23</v>
      </c>
      <c r="E11" s="17">
        <v>2.0</v>
      </c>
      <c r="F11" s="9"/>
      <c r="G11" s="9"/>
      <c r="H11" s="9"/>
      <c r="I11" s="9"/>
      <c r="J11" s="9"/>
    </row>
    <row r="12" ht="14.25" customHeight="1">
      <c r="B12" s="9" t="s">
        <v>24</v>
      </c>
      <c r="C12" s="18">
        <v>3.0</v>
      </c>
      <c r="D12" s="9" t="s">
        <v>25</v>
      </c>
      <c r="E12" s="9"/>
      <c r="F12" s="9"/>
      <c r="G12" s="9"/>
      <c r="H12" s="9"/>
      <c r="I12" s="9"/>
      <c r="J12" s="9"/>
    </row>
    <row r="13" ht="14.25" customHeight="1">
      <c r="B13" s="9" t="s">
        <v>26</v>
      </c>
      <c r="C13" s="9"/>
      <c r="D13" s="9" t="s">
        <v>27</v>
      </c>
      <c r="E13" s="9"/>
      <c r="F13" s="9"/>
      <c r="G13" s="9"/>
      <c r="H13" s="9"/>
      <c r="I13" s="9"/>
      <c r="J13" s="9"/>
    </row>
    <row r="14" ht="14.25" customHeight="1">
      <c r="B14" s="9"/>
      <c r="C14" s="9"/>
      <c r="D14" s="9" t="s">
        <v>28</v>
      </c>
      <c r="E14" s="9"/>
      <c r="F14" s="9"/>
      <c r="G14" s="9"/>
      <c r="H14" s="9"/>
      <c r="I14" s="9"/>
      <c r="J14" s="9"/>
    </row>
    <row r="15" ht="14.25" customHeight="1">
      <c r="B15" s="9"/>
      <c r="C15" s="9"/>
      <c r="D15" s="9" t="s">
        <v>29</v>
      </c>
      <c r="E15" s="9"/>
      <c r="F15" s="9"/>
      <c r="G15" s="9"/>
      <c r="H15" s="9"/>
      <c r="I15" s="9"/>
      <c r="J15" s="9"/>
    </row>
    <row r="16" ht="14.25" customHeight="1">
      <c r="B16" s="9"/>
      <c r="C16" s="9"/>
      <c r="D16" s="9" t="s">
        <v>30</v>
      </c>
      <c r="E16" s="9"/>
      <c r="F16" s="9"/>
      <c r="G16" s="9"/>
      <c r="H16" s="9"/>
      <c r="I16" s="9"/>
      <c r="J16" s="9"/>
    </row>
    <row r="17" ht="14.25" customHeight="1">
      <c r="B17" s="9"/>
      <c r="C17" s="9"/>
      <c r="D17" s="9" t="s">
        <v>31</v>
      </c>
      <c r="E17" s="9"/>
      <c r="F17" s="9"/>
      <c r="G17" s="9"/>
      <c r="H17" s="9"/>
      <c r="I17" s="9"/>
      <c r="J17" s="9"/>
    </row>
    <row r="18" ht="14.25" customHeight="1">
      <c r="B18" s="9"/>
      <c r="C18" s="9"/>
      <c r="D18" s="19" t="s">
        <v>32</v>
      </c>
      <c r="E18" s="19">
        <f t="shared" ref="E18:J18" si="1">SUM(E11:E17)</f>
        <v>2</v>
      </c>
      <c r="F18" s="19">
        <f t="shared" si="1"/>
        <v>0</v>
      </c>
      <c r="G18" s="19">
        <f t="shared" si="1"/>
        <v>0</v>
      </c>
      <c r="H18" s="19">
        <f t="shared" si="1"/>
        <v>0</v>
      </c>
      <c r="I18" s="19">
        <f t="shared" si="1"/>
        <v>0</v>
      </c>
      <c r="J18" s="19">
        <f t="shared" si="1"/>
        <v>0</v>
      </c>
    </row>
    <row r="19" ht="14.25" customHeight="1">
      <c r="B19" s="20"/>
      <c r="C19" s="20"/>
      <c r="D19" s="21"/>
      <c r="E19" s="21"/>
      <c r="F19" s="21"/>
      <c r="G19" s="21"/>
      <c r="H19" s="21"/>
      <c r="I19" s="21"/>
      <c r="J19" s="21"/>
    </row>
    <row r="20" ht="14.25" customHeight="1">
      <c r="B20" s="20"/>
      <c r="C20" s="20"/>
      <c r="D20" s="20"/>
      <c r="E20" s="20"/>
      <c r="F20" s="20"/>
      <c r="G20" s="20"/>
      <c r="H20" s="20"/>
      <c r="I20" s="20"/>
      <c r="J20" s="20"/>
      <c r="K20" s="3" t="s">
        <v>33</v>
      </c>
      <c r="L20" s="4" t="s">
        <v>34</v>
      </c>
      <c r="M20" s="22"/>
      <c r="N20" s="23"/>
    </row>
    <row r="21" ht="14.25" customHeight="1">
      <c r="B21" s="3" t="s">
        <v>35</v>
      </c>
      <c r="C21" s="4" t="s">
        <v>36</v>
      </c>
      <c r="D21" s="4" t="s">
        <v>37</v>
      </c>
      <c r="E21" s="3" t="s">
        <v>38</v>
      </c>
      <c r="F21" s="24" t="s">
        <v>39</v>
      </c>
      <c r="G21" s="3" t="s">
        <v>40</v>
      </c>
      <c r="K21" s="9" t="s">
        <v>5</v>
      </c>
      <c r="L21" s="9">
        <f>E9+M9</f>
        <v>0</v>
      </c>
    </row>
    <row r="22" ht="14.25" customHeight="1">
      <c r="B22" s="5" t="s">
        <v>5</v>
      </c>
      <c r="C22" s="25">
        <f>C4+E10+M10</f>
        <v>18</v>
      </c>
      <c r="D22" s="25">
        <f>'CONTEO CARNES'!N27</f>
        <v>22</v>
      </c>
      <c r="E22" s="9">
        <f t="shared" ref="E22:E27" si="2">C22-D22</f>
        <v>-4</v>
      </c>
      <c r="F22" s="24"/>
      <c r="G22" s="9">
        <f t="shared" ref="G22:G27" si="3">F22-E22</f>
        <v>4</v>
      </c>
      <c r="K22" s="9" t="s">
        <v>6</v>
      </c>
      <c r="L22" s="9">
        <f>F9+N9</f>
        <v>0</v>
      </c>
    </row>
    <row r="23" ht="14.25" customHeight="1">
      <c r="B23" s="5" t="s">
        <v>6</v>
      </c>
      <c r="C23" s="9">
        <f>C5+F10+N10</f>
        <v>15</v>
      </c>
      <c r="D23" s="9">
        <f>'CONTEO CARNES'!M27</f>
        <v>16</v>
      </c>
      <c r="E23" s="9">
        <f t="shared" si="2"/>
        <v>-1</v>
      </c>
      <c r="F23" s="9"/>
      <c r="G23" s="9">
        <f t="shared" si="3"/>
        <v>1</v>
      </c>
      <c r="K23" s="9" t="s">
        <v>7</v>
      </c>
      <c r="L23" s="9">
        <f>G9+O9</f>
        <v>0</v>
      </c>
    </row>
    <row r="24" ht="14.25" customHeight="1">
      <c r="B24" s="5" t="s">
        <v>7</v>
      </c>
      <c r="C24" s="9">
        <f>C6+G10+O10</f>
        <v>49</v>
      </c>
      <c r="D24" s="9">
        <f>'CONTEO CARNES'!K27</f>
        <v>36</v>
      </c>
      <c r="E24" s="9">
        <f t="shared" si="2"/>
        <v>13</v>
      </c>
      <c r="F24" s="9"/>
      <c r="G24" s="9">
        <f t="shared" si="3"/>
        <v>-13</v>
      </c>
      <c r="K24" s="9" t="s">
        <v>8</v>
      </c>
      <c r="L24" s="9">
        <f>H9+P9</f>
        <v>0</v>
      </c>
    </row>
    <row r="25" ht="14.25" customHeight="1">
      <c r="B25" s="5" t="s">
        <v>8</v>
      </c>
      <c r="C25" s="9">
        <f>C7+H10+P10</f>
        <v>19</v>
      </c>
      <c r="D25" s="9">
        <f>'CONTEO CARNES'!L27</f>
        <v>13</v>
      </c>
      <c r="E25" s="9">
        <f t="shared" si="2"/>
        <v>6</v>
      </c>
      <c r="F25" s="9"/>
      <c r="G25" s="9">
        <f t="shared" si="3"/>
        <v>-6</v>
      </c>
      <c r="K25" s="9" t="s">
        <v>9</v>
      </c>
      <c r="L25" s="9">
        <f>I9+Q9</f>
        <v>0</v>
      </c>
    </row>
    <row r="26" ht="14.25" customHeight="1">
      <c r="B26" s="5" t="s">
        <v>9</v>
      </c>
      <c r="C26" s="9">
        <f>C8+I10+Q10</f>
        <v>0</v>
      </c>
      <c r="D26" s="9">
        <f>'CONTEO CARNES'!O27</f>
        <v>10</v>
      </c>
      <c r="E26" s="9">
        <f t="shared" si="2"/>
        <v>-10</v>
      </c>
      <c r="F26" s="9"/>
      <c r="G26" s="9">
        <f t="shared" si="3"/>
        <v>10</v>
      </c>
      <c r="K26" s="9" t="s">
        <v>10</v>
      </c>
      <c r="L26" s="9"/>
    </row>
    <row r="27" ht="14.25" customHeight="1">
      <c r="B27" s="9"/>
      <c r="C27" s="9"/>
      <c r="D27" s="9">
        <f>J18</f>
        <v>0</v>
      </c>
      <c r="E27" s="9">
        <f t="shared" si="2"/>
        <v>0</v>
      </c>
      <c r="F27" s="9"/>
      <c r="G27" s="9">
        <f t="shared" si="3"/>
        <v>0</v>
      </c>
    </row>
    <row r="28" ht="14.25" customHeight="1"/>
    <row r="29" ht="14.25" customHeight="1">
      <c r="B29" s="26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D4:D6"/>
    <mergeCell ref="E4:E6"/>
    <mergeCell ref="F4:F6"/>
    <mergeCell ref="G4:G6"/>
    <mergeCell ref="H4:H6"/>
    <mergeCell ref="I4:I6"/>
    <mergeCell ref="J4:J6"/>
    <mergeCell ref="N5:N6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29"/>
    <col customWidth="1" min="2" max="2" width="26.29"/>
    <col customWidth="1" min="3" max="3" width="16.86"/>
    <col customWidth="1" min="4" max="5" width="24.14"/>
    <col customWidth="1" min="6" max="6" width="13.57"/>
    <col customWidth="1" min="7" max="7" width="15.29"/>
    <col customWidth="1" min="8" max="8" width="16.43"/>
    <col customWidth="1" min="9" max="9" width="16.57"/>
    <col customWidth="1" min="10" max="10" width="13.86"/>
    <col customWidth="1" min="11" max="12" width="11.43"/>
    <col customWidth="1" min="13" max="13" width="24.0"/>
    <col customWidth="1" min="14" max="14" width="22.86"/>
    <col customWidth="1" min="15" max="15" width="20.14"/>
    <col customWidth="1" min="16" max="16" width="11.43"/>
    <col customWidth="1" min="17" max="17" width="15.29"/>
    <col customWidth="1" min="18" max="18" width="15.14"/>
    <col customWidth="1" min="19" max="19" width="14.14"/>
    <col customWidth="1" min="20" max="26" width="11.43"/>
  </cols>
  <sheetData>
    <row r="1" ht="14.25" customHeight="1">
      <c r="B1" s="1" t="s">
        <v>41</v>
      </c>
    </row>
    <row r="2" ht="14.25" customHeight="1">
      <c r="B2" s="2" t="s">
        <v>1</v>
      </c>
    </row>
    <row r="3" ht="14.25" customHeight="1">
      <c r="B3" s="3" t="s">
        <v>2</v>
      </c>
      <c r="C3" s="3" t="s">
        <v>3</v>
      </c>
      <c r="D3" s="3" t="s">
        <v>4</v>
      </c>
      <c r="E3" s="3" t="s">
        <v>42</v>
      </c>
      <c r="F3" s="3" t="s">
        <v>43</v>
      </c>
      <c r="G3" s="4" t="s">
        <v>44</v>
      </c>
      <c r="H3" s="4" t="s">
        <v>45</v>
      </c>
      <c r="I3" s="4" t="s">
        <v>46</v>
      </c>
      <c r="J3" s="4" t="s">
        <v>47</v>
      </c>
      <c r="K3" s="27" t="s">
        <v>48</v>
      </c>
      <c r="L3" s="4" t="s">
        <v>49</v>
      </c>
      <c r="N3" s="3" t="s">
        <v>4</v>
      </c>
      <c r="O3" s="3" t="s">
        <v>42</v>
      </c>
      <c r="P3" s="3" t="s">
        <v>43</v>
      </c>
      <c r="Q3" s="4" t="s">
        <v>44</v>
      </c>
      <c r="R3" s="4" t="s">
        <v>45</v>
      </c>
      <c r="S3" s="4" t="s">
        <v>46</v>
      </c>
      <c r="T3" s="4" t="s">
        <v>47</v>
      </c>
      <c r="U3" s="4" t="s">
        <v>50</v>
      </c>
      <c r="V3" s="4" t="s">
        <v>49</v>
      </c>
    </row>
    <row r="4" ht="14.25" customHeight="1">
      <c r="B4" s="5" t="s">
        <v>51</v>
      </c>
      <c r="C4" s="3">
        <v>29.0</v>
      </c>
      <c r="D4" s="6" t="s">
        <v>12</v>
      </c>
      <c r="E4" s="6"/>
      <c r="F4" s="6"/>
      <c r="G4" s="6"/>
      <c r="H4" s="6"/>
      <c r="I4" s="6"/>
      <c r="J4" s="11"/>
      <c r="K4" s="28"/>
      <c r="L4" s="6"/>
      <c r="N4" s="3"/>
      <c r="O4" s="3"/>
      <c r="P4" s="3"/>
      <c r="Q4" s="4"/>
      <c r="R4" s="4"/>
      <c r="S4" s="4"/>
      <c r="T4" s="4"/>
      <c r="U4" s="9"/>
      <c r="V4" s="9"/>
    </row>
    <row r="5" ht="14.25" customHeight="1">
      <c r="B5" s="5"/>
      <c r="C5" s="3"/>
      <c r="D5" s="8"/>
      <c r="E5" s="8"/>
      <c r="F5" s="8"/>
      <c r="G5" s="8"/>
      <c r="H5" s="8"/>
      <c r="I5" s="8"/>
      <c r="J5" s="8"/>
      <c r="K5" s="29"/>
      <c r="L5" s="8"/>
      <c r="N5" s="3"/>
      <c r="O5" s="3"/>
      <c r="P5" s="3"/>
      <c r="Q5" s="4"/>
      <c r="R5" s="4"/>
      <c r="S5" s="4"/>
      <c r="T5" s="4"/>
      <c r="U5" s="9"/>
      <c r="V5" s="9"/>
    </row>
    <row r="6" ht="14.25" customHeight="1">
      <c r="B6" s="5" t="s">
        <v>43</v>
      </c>
      <c r="C6" s="7">
        <v>39.0</v>
      </c>
      <c r="D6" s="8"/>
      <c r="E6" s="8"/>
      <c r="F6" s="8"/>
      <c r="G6" s="8"/>
      <c r="H6" s="8"/>
      <c r="I6" s="8"/>
      <c r="J6" s="8"/>
      <c r="K6" s="29"/>
      <c r="L6" s="8"/>
      <c r="N6" s="9" t="s">
        <v>13</v>
      </c>
      <c r="O6" s="9"/>
      <c r="P6" s="11"/>
      <c r="Q6" s="9"/>
      <c r="R6" s="9"/>
      <c r="S6" s="9"/>
      <c r="T6" s="9"/>
      <c r="U6" s="9"/>
      <c r="V6" s="9"/>
    </row>
    <row r="7" ht="14.25" customHeight="1">
      <c r="B7" s="5" t="s">
        <v>44</v>
      </c>
      <c r="C7" s="7">
        <v>21.0</v>
      </c>
      <c r="D7" s="12"/>
      <c r="E7" s="12"/>
      <c r="F7" s="12"/>
      <c r="G7" s="12"/>
      <c r="H7" s="12"/>
      <c r="I7" s="12"/>
      <c r="J7" s="12"/>
      <c r="K7" s="30"/>
      <c r="L7" s="12"/>
      <c r="N7" s="9" t="s">
        <v>14</v>
      </c>
      <c r="O7" s="9"/>
      <c r="P7" s="12"/>
      <c r="Q7" s="9"/>
      <c r="R7" s="9"/>
      <c r="S7" s="9"/>
      <c r="T7" s="9"/>
      <c r="U7" s="9"/>
      <c r="V7" s="9"/>
    </row>
    <row r="8" ht="14.25" customHeight="1">
      <c r="B8" s="5" t="s">
        <v>45</v>
      </c>
      <c r="C8" s="7">
        <v>83.0</v>
      </c>
      <c r="D8" s="9" t="s">
        <v>15</v>
      </c>
      <c r="E8" s="14">
        <v>45511.0</v>
      </c>
      <c r="F8" s="9"/>
      <c r="G8" s="9"/>
      <c r="H8" s="9"/>
      <c r="I8" s="9"/>
      <c r="J8" s="9"/>
      <c r="K8" s="31"/>
      <c r="L8" s="9"/>
      <c r="N8" s="9" t="s">
        <v>15</v>
      </c>
      <c r="O8" s="9"/>
      <c r="P8" s="9"/>
      <c r="Q8" s="9"/>
      <c r="R8" s="9"/>
      <c r="S8" s="9"/>
      <c r="T8" s="9"/>
      <c r="U8" s="9"/>
      <c r="V8" s="9"/>
    </row>
    <row r="9" ht="14.25" customHeight="1">
      <c r="B9" s="5" t="s">
        <v>46</v>
      </c>
      <c r="C9" s="7">
        <v>41.0</v>
      </c>
      <c r="D9" s="9" t="s">
        <v>17</v>
      </c>
      <c r="E9" s="9"/>
      <c r="F9" s="9"/>
      <c r="G9" s="9"/>
      <c r="H9" s="9"/>
      <c r="I9" s="9"/>
      <c r="J9" s="9"/>
      <c r="K9" s="31"/>
      <c r="L9" s="9"/>
      <c r="N9" s="9" t="s">
        <v>17</v>
      </c>
      <c r="O9" s="9"/>
      <c r="P9" s="9"/>
      <c r="Q9" s="9"/>
      <c r="R9" s="9"/>
      <c r="S9" s="9"/>
      <c r="T9" s="9"/>
      <c r="U9" s="9"/>
      <c r="V9" s="9"/>
    </row>
    <row r="10" ht="14.25" customHeight="1">
      <c r="B10" s="5" t="s">
        <v>52</v>
      </c>
      <c r="C10" s="7">
        <v>16.0</v>
      </c>
      <c r="D10" s="15" t="s">
        <v>19</v>
      </c>
      <c r="E10" s="15"/>
      <c r="F10" s="15">
        <v>0.0</v>
      </c>
      <c r="G10" s="15">
        <v>0.0</v>
      </c>
      <c r="H10" s="15">
        <v>0.0</v>
      </c>
      <c r="I10" s="15">
        <v>0.0</v>
      </c>
      <c r="J10" s="15">
        <v>0.0</v>
      </c>
      <c r="K10" s="32">
        <v>0.0</v>
      </c>
      <c r="L10" s="15"/>
      <c r="N10" s="15" t="s">
        <v>19</v>
      </c>
      <c r="O10" s="15">
        <v>0.0</v>
      </c>
      <c r="P10" s="15">
        <v>0.0</v>
      </c>
      <c r="Q10" s="15">
        <v>0.0</v>
      </c>
      <c r="R10" s="15">
        <v>0.0</v>
      </c>
      <c r="S10" s="15">
        <v>0.0</v>
      </c>
      <c r="T10" s="15">
        <v>0.0</v>
      </c>
      <c r="U10" s="15">
        <v>0.0</v>
      </c>
      <c r="V10" s="9"/>
    </row>
    <row r="11" ht="14.25" customHeight="1">
      <c r="B11" s="9" t="s">
        <v>53</v>
      </c>
      <c r="C11" s="7"/>
      <c r="D11" s="16" t="s">
        <v>21</v>
      </c>
      <c r="E11" s="16">
        <v>31.0</v>
      </c>
      <c r="F11" s="16"/>
      <c r="G11" s="16"/>
      <c r="H11" s="16"/>
      <c r="I11" s="16"/>
      <c r="J11" s="16"/>
      <c r="K11" s="33"/>
      <c r="L11" s="16"/>
      <c r="N11" s="16" t="s">
        <v>21</v>
      </c>
      <c r="O11" s="16"/>
      <c r="P11" s="16"/>
      <c r="Q11" s="16"/>
      <c r="R11" s="16"/>
      <c r="S11" s="16"/>
      <c r="T11" s="16"/>
      <c r="U11" s="16"/>
      <c r="V11" s="9"/>
    </row>
    <row r="12" ht="14.25" customHeight="1">
      <c r="B12" s="9" t="s">
        <v>54</v>
      </c>
      <c r="C12" s="7">
        <v>17.0</v>
      </c>
      <c r="D12" s="9" t="s">
        <v>23</v>
      </c>
      <c r="E12" s="9"/>
      <c r="F12" s="9"/>
      <c r="G12" s="9"/>
      <c r="H12" s="9"/>
      <c r="I12" s="9"/>
      <c r="J12" s="9"/>
      <c r="K12" s="31"/>
      <c r="L12" s="9"/>
    </row>
    <row r="13" ht="14.25" customHeight="1">
      <c r="B13" s="9" t="s">
        <v>55</v>
      </c>
      <c r="C13" s="9">
        <v>8.0</v>
      </c>
      <c r="D13" s="9" t="s">
        <v>25</v>
      </c>
      <c r="E13" s="9"/>
      <c r="F13" s="9"/>
      <c r="G13" s="9"/>
      <c r="H13" s="9"/>
      <c r="I13" s="9"/>
      <c r="J13" s="9"/>
      <c r="K13" s="31"/>
      <c r="L13" s="9"/>
    </row>
    <row r="14" ht="14.25" customHeight="1">
      <c r="B14" s="9" t="s">
        <v>56</v>
      </c>
      <c r="C14" s="9"/>
      <c r="D14" s="9" t="s">
        <v>27</v>
      </c>
      <c r="E14" s="9"/>
      <c r="F14" s="9"/>
      <c r="G14" s="9"/>
      <c r="H14" s="9"/>
      <c r="I14" s="9"/>
      <c r="J14" s="9"/>
      <c r="K14" s="31"/>
      <c r="L14" s="9"/>
    </row>
    <row r="15" ht="14.25" customHeight="1">
      <c r="B15" s="9" t="s">
        <v>57</v>
      </c>
      <c r="C15" s="9">
        <v>14.0</v>
      </c>
      <c r="D15" s="9" t="s">
        <v>28</v>
      </c>
      <c r="E15" s="9"/>
      <c r="F15" s="9"/>
      <c r="G15" s="9"/>
      <c r="H15" s="9"/>
      <c r="I15" s="9"/>
      <c r="J15" s="9"/>
      <c r="K15" s="31"/>
      <c r="L15" s="9"/>
    </row>
    <row r="16" ht="14.25" customHeight="1">
      <c r="B16" s="9"/>
      <c r="C16" s="9"/>
      <c r="D16" s="9" t="s">
        <v>29</v>
      </c>
      <c r="E16" s="9"/>
      <c r="F16" s="9"/>
      <c r="G16" s="9"/>
      <c r="H16" s="9"/>
      <c r="I16" s="9"/>
      <c r="J16" s="9"/>
      <c r="K16" s="31"/>
      <c r="L16" s="9"/>
    </row>
    <row r="17" ht="14.25" customHeight="1">
      <c r="B17" s="9"/>
      <c r="C17" s="9"/>
      <c r="D17" s="9" t="s">
        <v>30</v>
      </c>
      <c r="E17" s="9"/>
      <c r="F17" s="9"/>
      <c r="G17" s="9"/>
      <c r="H17" s="9"/>
      <c r="I17" s="9"/>
      <c r="J17" s="9"/>
      <c r="K17" s="31"/>
      <c r="L17" s="9"/>
    </row>
    <row r="18" ht="14.25" customHeight="1">
      <c r="B18" s="9"/>
      <c r="C18" s="9"/>
      <c r="D18" s="9" t="s">
        <v>31</v>
      </c>
      <c r="E18" s="9"/>
      <c r="F18" s="9"/>
      <c r="G18" s="9"/>
      <c r="H18" s="9"/>
      <c r="I18" s="9"/>
      <c r="J18" s="9"/>
      <c r="K18" s="31"/>
      <c r="L18" s="9"/>
    </row>
    <row r="19" ht="14.25" customHeight="1">
      <c r="B19" s="9"/>
      <c r="C19" s="9"/>
      <c r="D19" s="19" t="s">
        <v>32</v>
      </c>
      <c r="E19" s="19">
        <f t="shared" ref="E19:K19" si="1">SUM(E12:E18)</f>
        <v>0</v>
      </c>
      <c r="F19" s="19">
        <f t="shared" si="1"/>
        <v>0</v>
      </c>
      <c r="G19" s="19">
        <f t="shared" si="1"/>
        <v>0</v>
      </c>
      <c r="H19" s="19">
        <f t="shared" si="1"/>
        <v>0</v>
      </c>
      <c r="I19" s="19">
        <f t="shared" si="1"/>
        <v>0</v>
      </c>
      <c r="J19" s="19">
        <f t="shared" si="1"/>
        <v>0</v>
      </c>
      <c r="K19" s="34">
        <f t="shared" si="1"/>
        <v>0</v>
      </c>
      <c r="L19" s="19"/>
    </row>
    <row r="20" ht="14.25" customHeight="1">
      <c r="B20" s="20"/>
      <c r="C20" s="20"/>
      <c r="D20" s="21"/>
      <c r="E20" s="21"/>
      <c r="F20" s="21"/>
      <c r="G20" s="21"/>
      <c r="H20" s="21"/>
      <c r="I20" s="21"/>
      <c r="J20" s="21"/>
      <c r="K20" s="21"/>
      <c r="L20" s="35"/>
    </row>
    <row r="21" ht="14.25" customHeight="1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3" t="s">
        <v>33</v>
      </c>
      <c r="N21" s="4" t="s">
        <v>34</v>
      </c>
      <c r="O21" s="22"/>
      <c r="P21" s="23"/>
    </row>
    <row r="22" ht="14.25" customHeight="1">
      <c r="B22" s="3" t="s">
        <v>35</v>
      </c>
      <c r="C22" s="4" t="s">
        <v>36</v>
      </c>
      <c r="D22" s="4" t="s">
        <v>37</v>
      </c>
      <c r="E22" s="3" t="s">
        <v>38</v>
      </c>
      <c r="F22" s="24" t="s">
        <v>39</v>
      </c>
      <c r="G22" s="3" t="s">
        <v>40</v>
      </c>
      <c r="M22" s="5" t="s">
        <v>42</v>
      </c>
      <c r="N22" s="9">
        <f>E10+O10</f>
        <v>0</v>
      </c>
    </row>
    <row r="23" ht="14.25" customHeight="1">
      <c r="B23" s="5" t="s">
        <v>42</v>
      </c>
      <c r="C23" s="25">
        <f>C4+E11</f>
        <v>60</v>
      </c>
      <c r="D23" s="25">
        <f>'CONTEO MARISCOS'!L43</f>
        <v>0</v>
      </c>
      <c r="E23" s="9">
        <f t="shared" ref="E23:E30" si="2">C23-D23</f>
        <v>60</v>
      </c>
      <c r="F23" s="24"/>
      <c r="G23" s="9">
        <f t="shared" ref="G23:G30" si="3">F23-E23</f>
        <v>-60</v>
      </c>
      <c r="M23" s="5" t="s">
        <v>43</v>
      </c>
      <c r="N23" s="9">
        <f>F10+P10</f>
        <v>0</v>
      </c>
    </row>
    <row r="24" ht="14.25" customHeight="1">
      <c r="B24" s="5" t="s">
        <v>43</v>
      </c>
      <c r="C24" s="9">
        <f>C6+F11</f>
        <v>39</v>
      </c>
      <c r="D24" s="9">
        <f>'CONTEO MARISCOS'!K43</f>
        <v>1</v>
      </c>
      <c r="E24" s="9">
        <f t="shared" si="2"/>
        <v>38</v>
      </c>
      <c r="F24" s="9"/>
      <c r="G24" s="9">
        <f t="shared" si="3"/>
        <v>-38</v>
      </c>
      <c r="M24" s="5" t="s">
        <v>58</v>
      </c>
      <c r="N24" s="9">
        <f>G10+Q10</f>
        <v>0</v>
      </c>
    </row>
    <row r="25" ht="14.25" customHeight="1">
      <c r="B25" s="5" t="s">
        <v>44</v>
      </c>
      <c r="C25" s="9">
        <f>C7+G11</f>
        <v>21</v>
      </c>
      <c r="D25" s="9">
        <f>'CONTEO MARISCOS'!M43</f>
        <v>0</v>
      </c>
      <c r="E25" s="9">
        <f t="shared" si="2"/>
        <v>21</v>
      </c>
      <c r="F25" s="9"/>
      <c r="G25" s="9">
        <f t="shared" si="3"/>
        <v>-21</v>
      </c>
      <c r="M25" s="5" t="s">
        <v>45</v>
      </c>
      <c r="N25" s="9">
        <f>H10+R10</f>
        <v>0</v>
      </c>
    </row>
    <row r="26" ht="14.25" customHeight="1">
      <c r="B26" s="5" t="s">
        <v>45</v>
      </c>
      <c r="C26" s="9">
        <f>C8+H11</f>
        <v>83</v>
      </c>
      <c r="D26" s="9">
        <f>'CONTEO MARISCOS'!N43</f>
        <v>1</v>
      </c>
      <c r="E26" s="9">
        <f t="shared" si="2"/>
        <v>82</v>
      </c>
      <c r="F26" s="9"/>
      <c r="G26" s="9">
        <f t="shared" si="3"/>
        <v>-82</v>
      </c>
      <c r="M26" s="5" t="s">
        <v>46</v>
      </c>
      <c r="N26" s="9">
        <f>I10+S10</f>
        <v>0</v>
      </c>
    </row>
    <row r="27" ht="14.25" customHeight="1">
      <c r="B27" s="5" t="s">
        <v>46</v>
      </c>
      <c r="C27" s="9">
        <f>C9+I11</f>
        <v>41</v>
      </c>
      <c r="D27" s="9">
        <f>'CONTEO MARISCOS'!O43</f>
        <v>1</v>
      </c>
      <c r="E27" s="9">
        <f t="shared" si="2"/>
        <v>40</v>
      </c>
      <c r="F27" s="9"/>
      <c r="G27" s="9">
        <f t="shared" si="3"/>
        <v>-40</v>
      </c>
      <c r="M27" s="5" t="s">
        <v>52</v>
      </c>
      <c r="N27" s="9">
        <f>J10+T10</f>
        <v>0</v>
      </c>
    </row>
    <row r="28" ht="14.25" customHeight="1">
      <c r="B28" s="5" t="s">
        <v>52</v>
      </c>
      <c r="C28" s="9">
        <f>C10+J11</f>
        <v>16</v>
      </c>
      <c r="D28" s="9">
        <f>'CONTEO MARISCOS'!T43</f>
        <v>0</v>
      </c>
      <c r="E28" s="9">
        <f t="shared" si="2"/>
        <v>16</v>
      </c>
      <c r="F28" s="9"/>
      <c r="G28" s="9">
        <f t="shared" si="3"/>
        <v>-16</v>
      </c>
      <c r="M28" s="9" t="s">
        <v>50</v>
      </c>
      <c r="N28" s="9"/>
    </row>
    <row r="29" ht="14.25" customHeight="1">
      <c r="B29" s="9" t="s">
        <v>50</v>
      </c>
      <c r="C29" s="9">
        <f>C11+K11</f>
        <v>0</v>
      </c>
      <c r="D29" s="9">
        <f>'CONTEO MARISCOS'!P43</f>
        <v>0</v>
      </c>
      <c r="E29" s="9">
        <f t="shared" si="2"/>
        <v>0</v>
      </c>
      <c r="F29" s="9"/>
      <c r="G29" s="9">
        <f t="shared" si="3"/>
        <v>0</v>
      </c>
    </row>
    <row r="30" ht="14.25" customHeight="1">
      <c r="B30" s="5" t="s">
        <v>59</v>
      </c>
      <c r="C30" s="9">
        <f>C12+L11</f>
        <v>17</v>
      </c>
      <c r="D30" s="9">
        <f>'CONTEO MARISCOS'!U43</f>
        <v>0</v>
      </c>
      <c r="E30" s="9">
        <f t="shared" si="2"/>
        <v>17</v>
      </c>
      <c r="F30" s="9"/>
      <c r="G30" s="9">
        <f t="shared" si="3"/>
        <v>-17</v>
      </c>
    </row>
    <row r="31" ht="14.25" customHeight="1">
      <c r="B31" s="26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K4:K7"/>
    <mergeCell ref="L4:L7"/>
    <mergeCell ref="P6:P7"/>
    <mergeCell ref="D4:D7"/>
    <mergeCell ref="E4:E7"/>
    <mergeCell ref="F4:F7"/>
    <mergeCell ref="G4:G7"/>
    <mergeCell ref="H4:H7"/>
    <mergeCell ref="I4:I7"/>
    <mergeCell ref="J4:J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9.14"/>
    <col customWidth="1" min="2" max="8" width="9.86"/>
    <col customWidth="1" min="9" max="9" width="10.86"/>
    <col customWidth="1" min="10" max="10" width="32.0"/>
    <col customWidth="1" min="11" max="13" width="9.14"/>
    <col customWidth="1" min="14" max="14" width="11.57"/>
    <col customWidth="1" min="15" max="15" width="11.0"/>
    <col customWidth="1" min="16" max="17" width="9.71"/>
    <col customWidth="1" min="18" max="18" width="9.86"/>
    <col customWidth="1" min="19" max="20" width="9.14"/>
    <col customWidth="1" min="21" max="21" width="12.86"/>
    <col customWidth="1" min="22" max="26" width="9.14"/>
  </cols>
  <sheetData>
    <row r="1" ht="14.25" customHeight="1"/>
    <row r="2" ht="30.75" customHeight="1">
      <c r="B2" s="3" t="s">
        <v>60</v>
      </c>
      <c r="C2" s="3" t="s">
        <v>61</v>
      </c>
      <c r="D2" s="36" t="s">
        <v>62</v>
      </c>
      <c r="E2" s="3" t="s">
        <v>63</v>
      </c>
      <c r="F2" s="3" t="s">
        <v>64</v>
      </c>
      <c r="G2" s="3" t="s">
        <v>65</v>
      </c>
      <c r="H2" s="3" t="s">
        <v>66</v>
      </c>
      <c r="I2" s="37" t="s">
        <v>67</v>
      </c>
      <c r="J2" s="37" t="s">
        <v>68</v>
      </c>
      <c r="K2" s="38" t="s">
        <v>43</v>
      </c>
      <c r="L2" s="38" t="s">
        <v>42</v>
      </c>
      <c r="M2" s="38" t="s">
        <v>44</v>
      </c>
      <c r="N2" s="38" t="s">
        <v>45</v>
      </c>
      <c r="O2" s="38" t="s">
        <v>46</v>
      </c>
      <c r="P2" s="37" t="s">
        <v>69</v>
      </c>
      <c r="Q2" s="37" t="s">
        <v>70</v>
      </c>
      <c r="R2" s="38" t="s">
        <v>71</v>
      </c>
      <c r="S2" s="38" t="s">
        <v>72</v>
      </c>
      <c r="T2" s="37" t="s">
        <v>73</v>
      </c>
      <c r="U2" s="37" t="s">
        <v>74</v>
      </c>
    </row>
    <row r="3" ht="14.25" customHeight="1">
      <c r="B3" s="9"/>
      <c r="C3" s="9"/>
      <c r="D3" s="9"/>
      <c r="E3" s="9"/>
      <c r="F3" s="9"/>
      <c r="G3" s="9"/>
      <c r="H3" s="9"/>
      <c r="I3" s="9">
        <f t="shared" ref="I3:I27" si="1">SUM(B3:H3)</f>
        <v>0</v>
      </c>
      <c r="J3" s="39" t="s">
        <v>75</v>
      </c>
      <c r="K3" s="9">
        <f>1*I3</f>
        <v>0</v>
      </c>
      <c r="L3" s="9"/>
      <c r="M3" s="9"/>
      <c r="N3" s="9"/>
      <c r="O3" s="9"/>
      <c r="P3" s="9"/>
      <c r="Q3" s="9"/>
      <c r="R3" s="9"/>
      <c r="S3" s="13"/>
      <c r="T3" s="9"/>
      <c r="U3" s="9"/>
    </row>
    <row r="4" ht="14.25" customHeight="1">
      <c r="B4" s="9"/>
      <c r="C4" s="9"/>
      <c r="D4" s="9"/>
      <c r="E4" s="9"/>
      <c r="F4" s="9"/>
      <c r="G4" s="9"/>
      <c r="H4" s="9"/>
      <c r="I4" s="9">
        <f t="shared" si="1"/>
        <v>0</v>
      </c>
      <c r="J4" s="39" t="s">
        <v>76</v>
      </c>
      <c r="K4" s="9">
        <f t="shared" ref="K4:K6" si="2">I4*1</f>
        <v>0</v>
      </c>
      <c r="L4" s="9"/>
      <c r="M4" s="9"/>
      <c r="N4" s="9"/>
      <c r="O4" s="9"/>
      <c r="P4" s="9"/>
      <c r="Q4" s="9"/>
      <c r="R4" s="9"/>
      <c r="S4" s="9"/>
      <c r="T4" s="9"/>
      <c r="U4" s="9"/>
    </row>
    <row r="5" ht="14.25" customHeight="1">
      <c r="B5" s="9"/>
      <c r="C5" s="9"/>
      <c r="D5" s="9"/>
      <c r="E5" s="9"/>
      <c r="F5" s="9"/>
      <c r="G5" s="9"/>
      <c r="H5" s="9"/>
      <c r="I5" s="9">
        <f t="shared" si="1"/>
        <v>0</v>
      </c>
      <c r="J5" s="39" t="s">
        <v>77</v>
      </c>
      <c r="K5" s="9">
        <f t="shared" si="2"/>
        <v>0</v>
      </c>
      <c r="L5" s="9"/>
      <c r="M5" s="9"/>
      <c r="N5" s="9">
        <f>I5*1</f>
        <v>0</v>
      </c>
      <c r="O5" s="9"/>
      <c r="P5" s="9"/>
      <c r="Q5" s="9"/>
      <c r="R5" s="9"/>
      <c r="S5" s="9"/>
      <c r="T5" s="9"/>
      <c r="U5" s="9"/>
    </row>
    <row r="6" ht="14.25" customHeight="1">
      <c r="B6" s="9"/>
      <c r="C6" s="9"/>
      <c r="D6" s="9"/>
      <c r="E6" s="9"/>
      <c r="F6" s="9"/>
      <c r="G6" s="9"/>
      <c r="H6" s="9"/>
      <c r="I6" s="9">
        <f t="shared" si="1"/>
        <v>0</v>
      </c>
      <c r="J6" s="39" t="s">
        <v>78</v>
      </c>
      <c r="K6" s="9">
        <f t="shared" si="2"/>
        <v>0</v>
      </c>
      <c r="L6" s="9"/>
      <c r="M6" s="9"/>
      <c r="N6" s="9"/>
      <c r="O6" s="9"/>
      <c r="P6" s="9"/>
      <c r="Q6" s="9"/>
      <c r="R6" s="9"/>
      <c r="S6" s="9"/>
      <c r="T6" s="9"/>
      <c r="U6" s="9"/>
    </row>
    <row r="7" ht="14.25" customHeight="1">
      <c r="B7" s="9"/>
      <c r="C7" s="9"/>
      <c r="D7" s="9"/>
      <c r="E7" s="9"/>
      <c r="F7" s="9"/>
      <c r="G7" s="9"/>
      <c r="H7" s="9"/>
      <c r="I7" s="9">
        <f t="shared" si="1"/>
        <v>0</v>
      </c>
      <c r="J7" s="39" t="s">
        <v>79</v>
      </c>
      <c r="K7" s="9"/>
      <c r="L7" s="9"/>
      <c r="M7" s="9">
        <f>I7*1</f>
        <v>0</v>
      </c>
      <c r="N7" s="9"/>
      <c r="O7" s="9"/>
      <c r="P7" s="9"/>
      <c r="Q7" s="9"/>
      <c r="R7" s="9"/>
      <c r="S7" s="9"/>
      <c r="T7" s="9"/>
      <c r="U7" s="9"/>
    </row>
    <row r="8" ht="14.25" customHeight="1">
      <c r="B8" s="9"/>
      <c r="C8" s="9"/>
      <c r="D8" s="9"/>
      <c r="E8" s="9"/>
      <c r="F8" s="9"/>
      <c r="G8" s="9"/>
      <c r="H8" s="9"/>
      <c r="I8" s="9">
        <f t="shared" si="1"/>
        <v>0</v>
      </c>
      <c r="J8" s="39" t="s">
        <v>80</v>
      </c>
      <c r="K8" s="9"/>
      <c r="L8" s="9"/>
      <c r="M8" s="9"/>
      <c r="N8" s="9"/>
      <c r="O8" s="9">
        <f>I8*2</f>
        <v>0</v>
      </c>
      <c r="P8" s="9"/>
      <c r="Q8" s="9"/>
      <c r="R8" s="9"/>
      <c r="S8" s="9"/>
      <c r="T8" s="9"/>
      <c r="U8" s="9"/>
    </row>
    <row r="9" ht="14.25" customHeight="1">
      <c r="B9" s="9"/>
      <c r="C9" s="9"/>
      <c r="D9" s="9"/>
      <c r="E9" s="9"/>
      <c r="F9" s="9"/>
      <c r="G9" s="9"/>
      <c r="H9" s="9"/>
      <c r="I9" s="9">
        <f t="shared" si="1"/>
        <v>0</v>
      </c>
      <c r="J9" s="39" t="s">
        <v>81</v>
      </c>
      <c r="K9" s="9">
        <f t="shared" ref="K9:K11" si="3">I9*1</f>
        <v>0</v>
      </c>
      <c r="L9" s="9"/>
      <c r="M9" s="9"/>
      <c r="N9" s="9"/>
      <c r="O9" s="9"/>
      <c r="P9" s="9"/>
      <c r="Q9" s="9"/>
      <c r="R9" s="9"/>
      <c r="S9" s="9"/>
      <c r="T9" s="9"/>
      <c r="U9" s="9"/>
    </row>
    <row r="10" ht="14.25" customHeight="1">
      <c r="B10" s="9"/>
      <c r="C10" s="9"/>
      <c r="D10" s="9"/>
      <c r="E10" s="9"/>
      <c r="F10" s="9"/>
      <c r="G10" s="9"/>
      <c r="H10" s="9"/>
      <c r="I10" s="9">
        <f t="shared" si="1"/>
        <v>0</v>
      </c>
      <c r="J10" s="39" t="s">
        <v>82</v>
      </c>
      <c r="K10" s="9">
        <f t="shared" si="3"/>
        <v>0</v>
      </c>
      <c r="L10" s="9"/>
      <c r="M10" s="9"/>
      <c r="N10" s="9">
        <f t="shared" ref="N10:N11" si="4">I10*1</f>
        <v>0</v>
      </c>
      <c r="O10" s="9">
        <f t="shared" ref="O10:O11" si="5">I10*1</f>
        <v>0</v>
      </c>
      <c r="P10" s="9"/>
      <c r="Q10" s="9"/>
      <c r="R10" s="9"/>
      <c r="S10" s="9"/>
      <c r="T10" s="9"/>
      <c r="U10" s="9"/>
    </row>
    <row r="11" ht="14.25" customHeight="1">
      <c r="B11" s="9"/>
      <c r="C11" s="9"/>
      <c r="D11" s="9"/>
      <c r="E11" s="9"/>
      <c r="F11" s="9"/>
      <c r="G11" s="9"/>
      <c r="H11" s="9">
        <v>1.0</v>
      </c>
      <c r="I11" s="9">
        <f t="shared" si="1"/>
        <v>1</v>
      </c>
      <c r="J11" s="39" t="s">
        <v>83</v>
      </c>
      <c r="K11" s="9">
        <f t="shared" si="3"/>
        <v>1</v>
      </c>
      <c r="L11" s="9"/>
      <c r="M11" s="9"/>
      <c r="N11" s="9">
        <f t="shared" si="4"/>
        <v>1</v>
      </c>
      <c r="O11" s="9">
        <f t="shared" si="5"/>
        <v>1</v>
      </c>
      <c r="P11" s="9"/>
      <c r="Q11" s="9"/>
      <c r="R11" s="9"/>
      <c r="S11" s="9"/>
      <c r="T11" s="9"/>
      <c r="U11" s="9"/>
    </row>
    <row r="12" ht="14.25" customHeight="1">
      <c r="B12" s="9"/>
      <c r="C12" s="9"/>
      <c r="D12" s="9"/>
      <c r="E12" s="9"/>
      <c r="F12" s="9"/>
      <c r="G12" s="9"/>
      <c r="H12" s="9"/>
      <c r="I12" s="9">
        <f t="shared" si="1"/>
        <v>0</v>
      </c>
      <c r="J12" s="39" t="s">
        <v>84</v>
      </c>
      <c r="K12" s="9"/>
      <c r="L12" s="9"/>
      <c r="M12" s="9"/>
      <c r="N12" s="9"/>
      <c r="O12" s="9"/>
      <c r="P12" s="9"/>
      <c r="Q12" s="9"/>
      <c r="R12" s="9"/>
      <c r="S12" s="9"/>
      <c r="T12" s="9">
        <f>I12*1</f>
        <v>0</v>
      </c>
      <c r="U12" s="9"/>
    </row>
    <row r="13" ht="14.25" customHeight="1">
      <c r="B13" s="9"/>
      <c r="C13" s="9"/>
      <c r="D13" s="9"/>
      <c r="E13" s="9"/>
      <c r="F13" s="9"/>
      <c r="G13" s="9"/>
      <c r="H13" s="9"/>
      <c r="I13" s="9">
        <f t="shared" si="1"/>
        <v>0</v>
      </c>
      <c r="J13" s="39" t="s">
        <v>53</v>
      </c>
      <c r="K13" s="9"/>
      <c r="L13" s="9"/>
      <c r="M13" s="9"/>
      <c r="N13" s="9"/>
      <c r="O13" s="9"/>
      <c r="P13" s="9">
        <f>I13*1</f>
        <v>0</v>
      </c>
      <c r="Q13" s="9"/>
      <c r="R13" s="9"/>
      <c r="S13" s="9"/>
      <c r="T13" s="9"/>
      <c r="U13" s="9"/>
    </row>
    <row r="14" ht="14.25" customHeight="1">
      <c r="B14" s="9"/>
      <c r="C14" s="9"/>
      <c r="D14" s="9"/>
      <c r="E14" s="9"/>
      <c r="F14" s="9"/>
      <c r="G14" s="9"/>
      <c r="H14" s="9"/>
      <c r="I14" s="9">
        <f t="shared" si="1"/>
        <v>0</v>
      </c>
      <c r="J14" s="39" t="s">
        <v>85</v>
      </c>
      <c r="K14" s="9"/>
      <c r="L14" s="9"/>
      <c r="M14" s="9"/>
      <c r="N14" s="9">
        <f>I14*2</f>
        <v>0</v>
      </c>
      <c r="O14" s="9"/>
      <c r="P14" s="9"/>
      <c r="Q14" s="9"/>
      <c r="R14" s="9"/>
      <c r="S14" s="9"/>
      <c r="T14" s="9"/>
      <c r="U14" s="9"/>
    </row>
    <row r="15" ht="14.25" customHeight="1">
      <c r="B15" s="9"/>
      <c r="C15" s="9"/>
      <c r="D15" s="9"/>
      <c r="E15" s="9"/>
      <c r="F15" s="9"/>
      <c r="G15" s="9"/>
      <c r="H15" s="9"/>
      <c r="I15" s="9">
        <f t="shared" si="1"/>
        <v>0</v>
      </c>
      <c r="J15" s="39" t="s">
        <v>86</v>
      </c>
      <c r="K15" s="9"/>
      <c r="L15" s="9"/>
      <c r="M15" s="9"/>
      <c r="N15" s="9">
        <f>I15*1</f>
        <v>0</v>
      </c>
      <c r="O15" s="9"/>
      <c r="P15" s="9"/>
      <c r="Q15" s="9"/>
      <c r="R15" s="9"/>
      <c r="S15" s="9"/>
      <c r="T15" s="9"/>
      <c r="U15" s="9"/>
    </row>
    <row r="16" ht="14.25" customHeight="1">
      <c r="B16" s="9"/>
      <c r="C16" s="9"/>
      <c r="D16" s="9"/>
      <c r="E16" s="9"/>
      <c r="F16" s="9"/>
      <c r="G16" s="9"/>
      <c r="H16" s="9"/>
      <c r="I16" s="9">
        <f t="shared" si="1"/>
        <v>0</v>
      </c>
      <c r="J16" s="39" t="s">
        <v>87</v>
      </c>
      <c r="K16" s="9"/>
      <c r="L16" s="9"/>
      <c r="M16" s="9">
        <f>I16*1</f>
        <v>0</v>
      </c>
      <c r="N16" s="9"/>
      <c r="O16" s="9"/>
      <c r="P16" s="9"/>
      <c r="Q16" s="9"/>
      <c r="R16" s="9"/>
      <c r="S16" s="9"/>
      <c r="T16" s="9"/>
      <c r="U16" s="9"/>
    </row>
    <row r="17" ht="14.25" customHeight="1">
      <c r="B17" s="9"/>
      <c r="C17" s="9"/>
      <c r="D17" s="9"/>
      <c r="E17" s="9"/>
      <c r="F17" s="9"/>
      <c r="G17" s="9"/>
      <c r="H17" s="9"/>
      <c r="I17" s="9">
        <f t="shared" si="1"/>
        <v>0</v>
      </c>
      <c r="J17" s="39" t="s">
        <v>88</v>
      </c>
      <c r="K17" s="9"/>
      <c r="L17" s="9"/>
      <c r="M17" s="9"/>
      <c r="N17" s="9">
        <f>I17*2</f>
        <v>0</v>
      </c>
      <c r="O17" s="9"/>
      <c r="P17" s="9"/>
      <c r="Q17" s="9"/>
      <c r="R17" s="9"/>
      <c r="S17" s="9"/>
      <c r="T17" s="9"/>
      <c r="U17" s="9"/>
    </row>
    <row r="18" ht="14.25" customHeight="1">
      <c r="B18" s="9"/>
      <c r="C18" s="9"/>
      <c r="D18" s="9"/>
      <c r="E18" s="9"/>
      <c r="F18" s="9"/>
      <c r="G18" s="9"/>
      <c r="H18" s="9"/>
      <c r="I18" s="9">
        <f t="shared" si="1"/>
        <v>0</v>
      </c>
      <c r="J18" s="39" t="s">
        <v>89</v>
      </c>
      <c r="K18" s="9"/>
      <c r="L18" s="9">
        <f>I18*1</f>
        <v>0</v>
      </c>
      <c r="M18" s="9"/>
      <c r="N18" s="9">
        <f>I18*1</f>
        <v>0</v>
      </c>
      <c r="O18" s="9">
        <f>I18*1</f>
        <v>0</v>
      </c>
      <c r="P18" s="9"/>
      <c r="Q18" s="9"/>
      <c r="R18" s="9"/>
      <c r="S18" s="9"/>
      <c r="T18" s="9"/>
      <c r="U18" s="9"/>
    </row>
    <row r="19" ht="14.25" customHeight="1">
      <c r="B19" s="9"/>
      <c r="C19" s="9"/>
      <c r="D19" s="9"/>
      <c r="E19" s="9"/>
      <c r="F19" s="9"/>
      <c r="G19" s="9"/>
      <c r="H19" s="9"/>
      <c r="I19" s="9">
        <f t="shared" si="1"/>
        <v>0</v>
      </c>
      <c r="J19" s="39" t="s">
        <v>90</v>
      </c>
      <c r="K19" s="9"/>
      <c r="L19" s="9"/>
      <c r="M19" s="9"/>
      <c r="N19" s="9">
        <f>I19*2</f>
        <v>0</v>
      </c>
      <c r="O19" s="9"/>
      <c r="P19" s="9"/>
      <c r="Q19" s="9"/>
      <c r="R19" s="9"/>
      <c r="S19" s="9"/>
      <c r="T19" s="9"/>
      <c r="U19" s="9"/>
    </row>
    <row r="20" ht="14.25" customHeight="1">
      <c r="B20" s="9"/>
      <c r="C20" s="9"/>
      <c r="D20" s="9"/>
      <c r="E20" s="9"/>
      <c r="F20" s="9"/>
      <c r="G20" s="9"/>
      <c r="H20" s="9"/>
      <c r="I20" s="9">
        <f t="shared" si="1"/>
        <v>0</v>
      </c>
      <c r="J20" s="39" t="s">
        <v>91</v>
      </c>
      <c r="K20" s="9"/>
      <c r="L20" s="9">
        <f t="shared" ref="L20:L22" si="6">I20*1</f>
        <v>0</v>
      </c>
      <c r="M20" s="9"/>
      <c r="N20" s="9">
        <f>I20*1</f>
        <v>0</v>
      </c>
      <c r="O20" s="9">
        <f>I20*1</f>
        <v>0</v>
      </c>
      <c r="P20" s="9"/>
      <c r="Q20" s="9"/>
      <c r="R20" s="9"/>
      <c r="S20" s="9"/>
      <c r="T20" s="9"/>
      <c r="U20" s="9"/>
    </row>
    <row r="21" ht="14.25" customHeight="1">
      <c r="B21" s="9"/>
      <c r="C21" s="9"/>
      <c r="D21" s="9"/>
      <c r="E21" s="9"/>
      <c r="F21" s="9"/>
      <c r="G21" s="9"/>
      <c r="H21" s="9"/>
      <c r="I21" s="9">
        <f t="shared" si="1"/>
        <v>0</v>
      </c>
      <c r="J21" s="39" t="s">
        <v>92</v>
      </c>
      <c r="K21" s="9"/>
      <c r="L21" s="9">
        <f t="shared" si="6"/>
        <v>0</v>
      </c>
      <c r="M21" s="9"/>
      <c r="N21" s="9"/>
      <c r="O21" s="9"/>
      <c r="P21" s="9"/>
      <c r="Q21" s="9"/>
      <c r="R21" s="9"/>
      <c r="S21" s="9"/>
      <c r="T21" s="9"/>
      <c r="U21" s="9"/>
    </row>
    <row r="22" ht="14.25" customHeight="1">
      <c r="B22" s="9"/>
      <c r="C22" s="9"/>
      <c r="D22" s="9"/>
      <c r="E22" s="9"/>
      <c r="F22" s="9"/>
      <c r="G22" s="9"/>
      <c r="H22" s="9"/>
      <c r="I22" s="9">
        <f t="shared" si="1"/>
        <v>0</v>
      </c>
      <c r="J22" s="39" t="s">
        <v>93</v>
      </c>
      <c r="K22" s="9"/>
      <c r="L22" s="9">
        <f t="shared" si="6"/>
        <v>0</v>
      </c>
      <c r="M22" s="9"/>
      <c r="N22" s="9"/>
      <c r="O22" s="9"/>
      <c r="P22" s="9"/>
      <c r="Q22" s="9"/>
      <c r="R22" s="9"/>
      <c r="S22" s="9"/>
      <c r="T22" s="9"/>
      <c r="U22" s="9"/>
    </row>
    <row r="23" ht="14.25" customHeight="1">
      <c r="B23" s="9"/>
      <c r="C23" s="9"/>
      <c r="D23" s="9"/>
      <c r="E23" s="9"/>
      <c r="F23" s="9"/>
      <c r="G23" s="9"/>
      <c r="H23" s="9"/>
      <c r="I23" s="9">
        <f t="shared" si="1"/>
        <v>0</v>
      </c>
      <c r="J23" s="39" t="s">
        <v>94</v>
      </c>
      <c r="K23" s="9"/>
      <c r="L23" s="9">
        <f>I23*2</f>
        <v>0</v>
      </c>
      <c r="M23" s="9"/>
      <c r="N23" s="9"/>
      <c r="O23" s="9"/>
      <c r="P23" s="9"/>
      <c r="Q23" s="9"/>
      <c r="R23" s="9"/>
      <c r="S23" s="9"/>
      <c r="T23" s="9"/>
      <c r="U23" s="9"/>
    </row>
    <row r="24" ht="14.25" customHeight="1">
      <c r="B24" s="9"/>
      <c r="C24" s="9"/>
      <c r="D24" s="9"/>
      <c r="E24" s="9"/>
      <c r="F24" s="9"/>
      <c r="G24" s="9"/>
      <c r="H24" s="9"/>
      <c r="I24" s="9">
        <f t="shared" si="1"/>
        <v>0</v>
      </c>
      <c r="J24" s="39" t="s">
        <v>95</v>
      </c>
      <c r="K24" s="9"/>
      <c r="L24" s="9">
        <f t="shared" ref="L24:L29" si="7">I24*1</f>
        <v>0</v>
      </c>
      <c r="M24" s="9"/>
      <c r="N24" s="9">
        <f t="shared" ref="N24:N25" si="8">I24*1</f>
        <v>0</v>
      </c>
      <c r="O24" s="9">
        <f t="shared" ref="O24:O25" si="9">I24*1</f>
        <v>0</v>
      </c>
      <c r="P24" s="9"/>
      <c r="Q24" s="9"/>
      <c r="R24" s="9"/>
      <c r="S24" s="9"/>
      <c r="T24" s="9"/>
      <c r="U24" s="9"/>
    </row>
    <row r="25" ht="14.25" customHeight="1">
      <c r="B25" s="9"/>
      <c r="C25" s="9"/>
      <c r="D25" s="9"/>
      <c r="E25" s="9"/>
      <c r="F25" s="9"/>
      <c r="G25" s="9"/>
      <c r="H25" s="9"/>
      <c r="I25" s="9">
        <f t="shared" si="1"/>
        <v>0</v>
      </c>
      <c r="J25" s="39" t="s">
        <v>96</v>
      </c>
      <c r="K25" s="9"/>
      <c r="L25" s="9">
        <f t="shared" si="7"/>
        <v>0</v>
      </c>
      <c r="M25" s="9"/>
      <c r="N25" s="9">
        <f t="shared" si="8"/>
        <v>0</v>
      </c>
      <c r="O25" s="9">
        <f t="shared" si="9"/>
        <v>0</v>
      </c>
      <c r="P25" s="9"/>
      <c r="Q25" s="9"/>
      <c r="R25" s="9"/>
      <c r="S25" s="9"/>
      <c r="T25" s="9"/>
      <c r="U25" s="9"/>
    </row>
    <row r="26" ht="14.25" customHeight="1">
      <c r="B26" s="9"/>
      <c r="C26" s="9"/>
      <c r="D26" s="9"/>
      <c r="E26" s="9"/>
      <c r="F26" s="9"/>
      <c r="G26" s="9"/>
      <c r="H26" s="9"/>
      <c r="I26" s="9">
        <f t="shared" si="1"/>
        <v>0</v>
      </c>
      <c r="J26" s="39" t="s">
        <v>97</v>
      </c>
      <c r="K26" s="9"/>
      <c r="L26" s="9">
        <f t="shared" si="7"/>
        <v>0</v>
      </c>
      <c r="M26" s="9"/>
      <c r="N26" s="9"/>
      <c r="O26" s="9"/>
      <c r="P26" s="9"/>
      <c r="Q26" s="9"/>
      <c r="R26" s="9"/>
      <c r="S26" s="9"/>
      <c r="T26" s="9"/>
      <c r="U26" s="9"/>
    </row>
    <row r="27" ht="14.25" customHeight="1">
      <c r="B27" s="9"/>
      <c r="C27" s="9"/>
      <c r="D27" s="9"/>
      <c r="E27" s="9"/>
      <c r="F27" s="9"/>
      <c r="G27" s="9"/>
      <c r="H27" s="9"/>
      <c r="I27" s="9">
        <f t="shared" si="1"/>
        <v>0</v>
      </c>
      <c r="J27" s="39" t="s">
        <v>98</v>
      </c>
      <c r="K27" s="9"/>
      <c r="L27" s="9">
        <f t="shared" si="7"/>
        <v>0</v>
      </c>
      <c r="M27" s="9"/>
      <c r="N27" s="9"/>
      <c r="O27" s="9"/>
      <c r="P27" s="9"/>
      <c r="Q27" s="9"/>
      <c r="R27" s="9"/>
      <c r="S27" s="9"/>
      <c r="T27" s="9"/>
      <c r="U27" s="9"/>
    </row>
    <row r="28" ht="14.25" customHeight="1">
      <c r="B28" s="9"/>
      <c r="C28" s="9"/>
      <c r="D28" s="9"/>
      <c r="E28" s="9"/>
      <c r="F28" s="9"/>
      <c r="G28" s="9"/>
      <c r="H28" s="9"/>
      <c r="I28" s="9">
        <v>0.0</v>
      </c>
      <c r="J28" s="39" t="s">
        <v>99</v>
      </c>
      <c r="K28" s="9"/>
      <c r="L28" s="9">
        <f t="shared" si="7"/>
        <v>0</v>
      </c>
      <c r="M28" s="9"/>
      <c r="N28" s="9"/>
      <c r="O28" s="9"/>
      <c r="P28" s="9"/>
      <c r="Q28" s="9">
        <f>I28*1</f>
        <v>0</v>
      </c>
      <c r="R28" s="9"/>
      <c r="S28" s="9"/>
      <c r="T28" s="9"/>
      <c r="U28" s="9">
        <f>I28*1</f>
        <v>0</v>
      </c>
    </row>
    <row r="29" ht="14.25" customHeight="1">
      <c r="B29" s="9"/>
      <c r="C29" s="9"/>
      <c r="D29" s="9"/>
      <c r="E29" s="9"/>
      <c r="F29" s="9"/>
      <c r="G29" s="9"/>
      <c r="H29" s="9"/>
      <c r="I29" s="9">
        <f t="shared" ref="I29:I42" si="10">SUM(B29:H29)</f>
        <v>0</v>
      </c>
      <c r="J29" s="39" t="s">
        <v>100</v>
      </c>
      <c r="K29" s="9"/>
      <c r="L29" s="9">
        <f t="shared" si="7"/>
        <v>0</v>
      </c>
      <c r="M29" s="9"/>
      <c r="N29" s="9"/>
      <c r="O29" s="9"/>
      <c r="P29" s="9"/>
      <c r="Q29" s="9"/>
      <c r="R29" s="9"/>
      <c r="S29" s="9"/>
      <c r="T29" s="9"/>
      <c r="U29" s="9"/>
    </row>
    <row r="30" ht="14.25" customHeight="1">
      <c r="B30" s="9"/>
      <c r="C30" s="9"/>
      <c r="D30" s="9"/>
      <c r="E30" s="9"/>
      <c r="F30" s="9"/>
      <c r="G30" s="9"/>
      <c r="H30" s="9"/>
      <c r="I30" s="9">
        <f t="shared" si="10"/>
        <v>0</v>
      </c>
      <c r="J30" s="39" t="s">
        <v>101</v>
      </c>
      <c r="K30" s="9"/>
      <c r="L30" s="9"/>
      <c r="M30" s="9"/>
      <c r="N30" s="9">
        <f>I30*2</f>
        <v>0</v>
      </c>
      <c r="O30" s="9"/>
      <c r="P30" s="9"/>
      <c r="Q30" s="9"/>
      <c r="R30" s="9"/>
      <c r="S30" s="9"/>
      <c r="T30" s="9"/>
      <c r="U30" s="9"/>
    </row>
    <row r="31" ht="14.25" customHeight="1">
      <c r="B31" s="9"/>
      <c r="C31" s="9"/>
      <c r="D31" s="9"/>
      <c r="E31" s="9"/>
      <c r="F31" s="9"/>
      <c r="G31" s="9"/>
      <c r="H31" s="9"/>
      <c r="I31" s="9">
        <f t="shared" si="10"/>
        <v>0</v>
      </c>
      <c r="J31" s="40" t="s">
        <v>102</v>
      </c>
      <c r="K31" s="9"/>
      <c r="L31" s="9">
        <f>I31*1</f>
        <v>0</v>
      </c>
      <c r="M31" s="9"/>
      <c r="N31" s="9"/>
      <c r="O31" s="9"/>
      <c r="P31" s="9"/>
      <c r="Q31" s="9"/>
      <c r="R31" s="9"/>
      <c r="S31" s="9"/>
      <c r="T31" s="9"/>
      <c r="U31" s="9"/>
    </row>
    <row r="32" ht="14.25" customHeight="1">
      <c r="B32" s="9"/>
      <c r="C32" s="9"/>
      <c r="D32" s="9"/>
      <c r="E32" s="9"/>
      <c r="F32" s="9"/>
      <c r="G32" s="9"/>
      <c r="H32" s="9"/>
      <c r="I32" s="9">
        <f t="shared" si="10"/>
        <v>0</v>
      </c>
      <c r="J32" s="40" t="s">
        <v>103</v>
      </c>
      <c r="K32" s="9"/>
      <c r="L32" s="9"/>
      <c r="M32" s="9"/>
      <c r="N32" s="9">
        <f>I32*2</f>
        <v>0</v>
      </c>
      <c r="O32" s="9"/>
      <c r="P32" s="9"/>
      <c r="Q32" s="9"/>
      <c r="R32" s="9"/>
      <c r="S32" s="9"/>
      <c r="T32" s="9"/>
      <c r="U32" s="9"/>
    </row>
    <row r="33" ht="14.25" customHeight="1">
      <c r="B33" s="9"/>
      <c r="C33" s="9"/>
      <c r="D33" s="9"/>
      <c r="E33" s="9"/>
      <c r="F33" s="9"/>
      <c r="G33" s="9"/>
      <c r="H33" s="9"/>
      <c r="I33" s="9">
        <f t="shared" si="10"/>
        <v>0</v>
      </c>
      <c r="J33" s="39" t="s">
        <v>104</v>
      </c>
      <c r="K33" s="9"/>
      <c r="L33" s="9">
        <f>I33*1</f>
        <v>0</v>
      </c>
      <c r="M33" s="9"/>
      <c r="N33" s="9"/>
      <c r="O33" s="9"/>
      <c r="P33" s="9"/>
      <c r="Q33" s="9"/>
      <c r="R33" s="9"/>
      <c r="S33" s="9"/>
      <c r="T33" s="9"/>
      <c r="U33" s="9"/>
    </row>
    <row r="34" ht="14.25" customHeight="1">
      <c r="B34" s="9"/>
      <c r="C34" s="9"/>
      <c r="D34" s="9"/>
      <c r="E34" s="9"/>
      <c r="F34" s="9"/>
      <c r="G34" s="9"/>
      <c r="H34" s="9"/>
      <c r="I34" s="9">
        <f t="shared" si="10"/>
        <v>0</v>
      </c>
      <c r="J34" s="39" t="s">
        <v>105</v>
      </c>
      <c r="K34" s="9"/>
      <c r="L34" s="9"/>
      <c r="M34" s="9"/>
      <c r="N34" s="9">
        <f>I34*2</f>
        <v>0</v>
      </c>
      <c r="O34" s="9"/>
      <c r="P34" s="9"/>
      <c r="Q34" s="9"/>
      <c r="R34" s="9"/>
      <c r="S34" s="9"/>
      <c r="T34" s="9"/>
      <c r="U34" s="9"/>
    </row>
    <row r="35" ht="14.25" customHeight="1">
      <c r="B35" s="9"/>
      <c r="C35" s="9"/>
      <c r="D35" s="9"/>
      <c r="E35" s="9"/>
      <c r="F35" s="9"/>
      <c r="G35" s="9"/>
      <c r="H35" s="9"/>
      <c r="I35" s="9">
        <f t="shared" si="10"/>
        <v>0</v>
      </c>
      <c r="J35" s="39" t="s">
        <v>106</v>
      </c>
      <c r="K35" s="9"/>
      <c r="L35" s="9">
        <f>I35*1</f>
        <v>0</v>
      </c>
      <c r="M35" s="9"/>
      <c r="N35" s="9"/>
      <c r="O35" s="9"/>
      <c r="P35" s="9"/>
      <c r="Q35" s="9"/>
      <c r="R35" s="9"/>
      <c r="S35" s="9"/>
      <c r="T35" s="9"/>
      <c r="U35" s="9"/>
    </row>
    <row r="36" ht="14.25" customHeight="1">
      <c r="B36" s="9"/>
      <c r="C36" s="9"/>
      <c r="D36" s="9"/>
      <c r="E36" s="9"/>
      <c r="F36" s="9"/>
      <c r="G36" s="9"/>
      <c r="H36" s="9"/>
      <c r="I36" s="9">
        <f t="shared" si="10"/>
        <v>0</v>
      </c>
      <c r="J36" s="39" t="s">
        <v>107</v>
      </c>
      <c r="K36" s="9"/>
      <c r="L36" s="9"/>
      <c r="M36" s="9">
        <f>I36*1</f>
        <v>0</v>
      </c>
      <c r="N36" s="9"/>
      <c r="O36" s="9"/>
      <c r="P36" s="9"/>
      <c r="Q36" s="9"/>
      <c r="R36" s="9"/>
      <c r="S36" s="9"/>
      <c r="T36" s="9"/>
      <c r="U36" s="9"/>
    </row>
    <row r="37" ht="14.25" customHeight="1">
      <c r="B37" s="9"/>
      <c r="C37" s="9"/>
      <c r="D37" s="9"/>
      <c r="E37" s="9"/>
      <c r="F37" s="9"/>
      <c r="G37" s="9"/>
      <c r="H37" s="9"/>
      <c r="I37" s="9">
        <f t="shared" si="10"/>
        <v>0</v>
      </c>
      <c r="J37" s="39" t="s">
        <v>108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ht="14.25" customHeight="1">
      <c r="B38" s="9"/>
      <c r="C38" s="9"/>
      <c r="D38" s="9"/>
      <c r="E38" s="9"/>
      <c r="F38" s="9"/>
      <c r="G38" s="9"/>
      <c r="H38" s="9"/>
      <c r="I38" s="9">
        <f t="shared" si="10"/>
        <v>0</v>
      </c>
      <c r="J38" s="41" t="s">
        <v>109</v>
      </c>
      <c r="K38" s="9"/>
      <c r="L38" s="9"/>
      <c r="M38" s="9"/>
      <c r="N38" s="9">
        <f>I38*1</f>
        <v>0</v>
      </c>
      <c r="O38" s="9"/>
      <c r="P38" s="9"/>
      <c r="Q38" s="9"/>
      <c r="R38" s="9"/>
      <c r="S38" s="9"/>
      <c r="T38" s="9"/>
      <c r="U38" s="9"/>
    </row>
    <row r="39" ht="14.25" customHeight="1">
      <c r="B39" s="9"/>
      <c r="C39" s="9"/>
      <c r="D39" s="9"/>
      <c r="E39" s="9"/>
      <c r="F39" s="9"/>
      <c r="G39" s="9"/>
      <c r="H39" s="9"/>
      <c r="I39" s="9">
        <f t="shared" si="10"/>
        <v>0</v>
      </c>
      <c r="J39" s="41" t="s">
        <v>110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ht="14.25" customHeight="1">
      <c r="B40" s="9"/>
      <c r="C40" s="9"/>
      <c r="D40" s="9"/>
      <c r="E40" s="9"/>
      <c r="F40" s="9"/>
      <c r="G40" s="9"/>
      <c r="H40" s="9"/>
      <c r="I40" s="9">
        <f t="shared" si="10"/>
        <v>0</v>
      </c>
      <c r="J40" s="41" t="s">
        <v>111</v>
      </c>
      <c r="K40" s="9"/>
      <c r="L40" s="9"/>
      <c r="M40" s="9">
        <f>I40*1</f>
        <v>0</v>
      </c>
      <c r="N40" s="9"/>
      <c r="O40" s="9"/>
      <c r="P40" s="9"/>
      <c r="Q40" s="9"/>
      <c r="R40" s="9"/>
      <c r="S40" s="9"/>
      <c r="T40" s="9"/>
      <c r="U40" s="9"/>
    </row>
    <row r="41" ht="14.25" customHeight="1">
      <c r="B41" s="9"/>
      <c r="C41" s="9"/>
      <c r="D41" s="9"/>
      <c r="E41" s="9"/>
      <c r="F41" s="9"/>
      <c r="G41" s="9"/>
      <c r="H41" s="9"/>
      <c r="I41" s="9">
        <f t="shared" si="10"/>
        <v>0</v>
      </c>
      <c r="J41" s="3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ht="14.25" customHeight="1">
      <c r="B42" s="9"/>
      <c r="C42" s="9"/>
      <c r="D42" s="9"/>
      <c r="E42" s="9"/>
      <c r="F42" s="9"/>
      <c r="G42" s="9"/>
      <c r="H42" s="9"/>
      <c r="I42" s="9">
        <f t="shared" si="10"/>
        <v>0</v>
      </c>
      <c r="J42" s="39" t="s">
        <v>112</v>
      </c>
      <c r="K42" s="42"/>
      <c r="L42" s="42"/>
      <c r="M42" s="42"/>
      <c r="N42" s="42"/>
      <c r="O42" s="42">
        <f>I42*2</f>
        <v>0</v>
      </c>
      <c r="P42" s="42"/>
      <c r="Q42" s="42"/>
      <c r="R42" s="42"/>
      <c r="S42" s="9"/>
      <c r="T42" s="9"/>
      <c r="U42" s="9"/>
    </row>
    <row r="43" ht="25.5" customHeight="1">
      <c r="B43" s="9"/>
      <c r="C43" s="9"/>
      <c r="D43" s="9"/>
      <c r="E43" s="9"/>
      <c r="F43" s="9"/>
      <c r="G43" s="9"/>
      <c r="H43" s="9"/>
      <c r="I43" s="42"/>
      <c r="J43" s="43" t="s">
        <v>113</v>
      </c>
      <c r="K43" s="44">
        <f t="shared" ref="K43:P43" si="11">SUM(K3:K42)</f>
        <v>1</v>
      </c>
      <c r="L43" s="44">
        <f t="shared" si="11"/>
        <v>0</v>
      </c>
      <c r="M43" s="44">
        <f t="shared" si="11"/>
        <v>0</v>
      </c>
      <c r="N43" s="44">
        <f t="shared" si="11"/>
        <v>1</v>
      </c>
      <c r="O43" s="44">
        <f t="shared" si="11"/>
        <v>1</v>
      </c>
      <c r="P43" s="44">
        <f t="shared" si="11"/>
        <v>0</v>
      </c>
      <c r="Q43" s="44"/>
      <c r="R43" s="44">
        <f t="shared" ref="R43:U43" si="12">SUM(R3:R42)</f>
        <v>0</v>
      </c>
      <c r="S43" s="44">
        <f t="shared" si="12"/>
        <v>0</v>
      </c>
      <c r="T43" s="44">
        <f t="shared" si="12"/>
        <v>0</v>
      </c>
      <c r="U43" s="44">
        <f t="shared" si="12"/>
        <v>0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0.0" ySplit="2.0" topLeftCell="K3" activePane="bottomRight" state="frozen"/>
      <selection activeCell="K1" sqref="K1" pane="topRight"/>
      <selection activeCell="A3" sqref="A3" pane="bottomLeft"/>
      <selection activeCell="K3" sqref="K3" pane="bottomRight"/>
    </sheetView>
  </sheetViews>
  <sheetFormatPr customHeight="1" defaultColWidth="14.43" defaultRowHeight="15.0"/>
  <cols>
    <col customWidth="1" min="1" max="8" width="9.14"/>
    <col customWidth="1" min="9" max="9" width="10.86"/>
    <col customWidth="1" min="10" max="10" width="32.43"/>
    <col customWidth="1" min="11" max="11" width="9.86"/>
    <col customWidth="1" min="12" max="12" width="9.14"/>
    <col customWidth="1" min="13" max="13" width="8.14"/>
    <col customWidth="1" min="14" max="14" width="10.57"/>
    <col customWidth="1" min="15" max="26" width="9.14"/>
  </cols>
  <sheetData>
    <row r="1" ht="14.25" customHeight="1"/>
    <row r="2" ht="14.25" customHeight="1">
      <c r="B2" s="3" t="s">
        <v>60</v>
      </c>
      <c r="C2" s="3" t="s">
        <v>61</v>
      </c>
      <c r="D2" s="36" t="s">
        <v>62</v>
      </c>
      <c r="E2" s="3" t="s">
        <v>63</v>
      </c>
      <c r="F2" s="3" t="s">
        <v>64</v>
      </c>
      <c r="G2" s="3" t="s">
        <v>65</v>
      </c>
      <c r="H2" s="3" t="s">
        <v>66</v>
      </c>
      <c r="I2" s="45" t="s">
        <v>67</v>
      </c>
      <c r="J2" s="45" t="s">
        <v>68</v>
      </c>
      <c r="K2" s="45" t="s">
        <v>114</v>
      </c>
      <c r="L2" s="45" t="s">
        <v>8</v>
      </c>
      <c r="M2" s="46" t="s">
        <v>6</v>
      </c>
      <c r="N2" s="45" t="s">
        <v>115</v>
      </c>
      <c r="O2" s="47" t="s">
        <v>9</v>
      </c>
      <c r="P2" s="47" t="s">
        <v>18</v>
      </c>
    </row>
    <row r="3" ht="14.25" customHeight="1">
      <c r="B3" s="9"/>
      <c r="C3" s="9"/>
      <c r="D3" s="9"/>
      <c r="E3" s="9"/>
      <c r="F3" s="9"/>
      <c r="G3" s="9"/>
      <c r="H3" s="9">
        <v>7.0</v>
      </c>
      <c r="I3" s="9">
        <f t="shared" ref="I3:I26" si="1">SUM(B3:H3)</f>
        <v>7</v>
      </c>
      <c r="J3" s="40" t="s">
        <v>116</v>
      </c>
      <c r="K3" s="9">
        <f t="shared" ref="K3:K5" si="2">I3*1</f>
        <v>7</v>
      </c>
      <c r="L3" s="9"/>
      <c r="M3" s="9"/>
      <c r="N3" s="9"/>
      <c r="O3" s="31"/>
      <c r="P3" s="9"/>
    </row>
    <row r="4" ht="14.25" customHeight="1">
      <c r="B4" s="9"/>
      <c r="C4" s="9"/>
      <c r="D4" s="9"/>
      <c r="E4" s="9"/>
      <c r="F4" s="9"/>
      <c r="G4" s="9"/>
      <c r="H4" s="9">
        <v>4.0</v>
      </c>
      <c r="I4" s="9">
        <f t="shared" si="1"/>
        <v>4</v>
      </c>
      <c r="J4" s="40" t="s">
        <v>117</v>
      </c>
      <c r="K4" s="9">
        <f t="shared" si="2"/>
        <v>4</v>
      </c>
      <c r="L4" s="9"/>
      <c r="M4" s="9"/>
      <c r="N4" s="9"/>
      <c r="O4" s="31"/>
      <c r="P4" s="9"/>
    </row>
    <row r="5" ht="14.25" customHeight="1">
      <c r="B5" s="9"/>
      <c r="C5" s="9"/>
      <c r="D5" s="9"/>
      <c r="E5" s="9"/>
      <c r="F5" s="9"/>
      <c r="G5" s="9"/>
      <c r="H5" s="9">
        <v>7.0</v>
      </c>
      <c r="I5" s="9">
        <f t="shared" si="1"/>
        <v>7</v>
      </c>
      <c r="J5" s="39" t="s">
        <v>118</v>
      </c>
      <c r="K5" s="9">
        <f t="shared" si="2"/>
        <v>7</v>
      </c>
      <c r="L5" s="9"/>
      <c r="M5" s="9"/>
      <c r="N5" s="9"/>
      <c r="O5" s="31"/>
      <c r="P5" s="9"/>
    </row>
    <row r="6" ht="14.25" customHeight="1">
      <c r="B6" s="9"/>
      <c r="C6" s="9"/>
      <c r="D6" s="9"/>
      <c r="E6" s="9"/>
      <c r="F6" s="9"/>
      <c r="G6" s="9"/>
      <c r="H6" s="9"/>
      <c r="I6" s="9">
        <f t="shared" si="1"/>
        <v>0</v>
      </c>
      <c r="J6" s="39" t="s">
        <v>119</v>
      </c>
      <c r="K6" s="9"/>
      <c r="L6" s="9"/>
      <c r="M6" s="9"/>
      <c r="N6" s="9"/>
      <c r="O6" s="31"/>
      <c r="P6" s="9"/>
    </row>
    <row r="7" ht="14.25" customHeight="1">
      <c r="B7" s="9"/>
      <c r="C7" s="9"/>
      <c r="D7" s="9"/>
      <c r="E7" s="9"/>
      <c r="F7" s="9"/>
      <c r="G7" s="9"/>
      <c r="H7" s="9">
        <v>7.0</v>
      </c>
      <c r="I7" s="9">
        <f t="shared" si="1"/>
        <v>7</v>
      </c>
      <c r="J7" s="39" t="s">
        <v>120</v>
      </c>
      <c r="K7" s="9"/>
      <c r="L7" s="9"/>
      <c r="M7" s="9">
        <f>I7*1</f>
        <v>7</v>
      </c>
      <c r="N7" s="9"/>
      <c r="O7" s="31"/>
      <c r="P7" s="9"/>
    </row>
    <row r="8" ht="14.25" customHeight="1">
      <c r="B8" s="9"/>
      <c r="C8" s="9"/>
      <c r="D8" s="9"/>
      <c r="E8" s="9"/>
      <c r="F8" s="9"/>
      <c r="G8" s="9"/>
      <c r="H8" s="9">
        <v>22.0</v>
      </c>
      <c r="I8" s="9">
        <f t="shared" si="1"/>
        <v>22</v>
      </c>
      <c r="J8" s="39" t="s">
        <v>5</v>
      </c>
      <c r="K8" s="9"/>
      <c r="L8" s="9"/>
      <c r="M8" s="9"/>
      <c r="N8" s="9">
        <f>I8*1</f>
        <v>22</v>
      </c>
      <c r="O8" s="31"/>
      <c r="P8" s="9"/>
    </row>
    <row r="9" ht="14.25" customHeight="1">
      <c r="B9" s="9"/>
      <c r="C9" s="9"/>
      <c r="D9" s="9"/>
      <c r="E9" s="9"/>
      <c r="F9" s="9"/>
      <c r="G9" s="9"/>
      <c r="H9" s="9">
        <v>9.0</v>
      </c>
      <c r="I9" s="9">
        <f t="shared" si="1"/>
        <v>9</v>
      </c>
      <c r="J9" s="39" t="s">
        <v>121</v>
      </c>
      <c r="K9" s="9"/>
      <c r="L9" s="9"/>
      <c r="M9" s="9">
        <f>I9*1</f>
        <v>9</v>
      </c>
      <c r="N9" s="9"/>
      <c r="O9" s="31"/>
      <c r="P9" s="9"/>
    </row>
    <row r="10" ht="14.25" customHeight="1">
      <c r="B10" s="9"/>
      <c r="C10" s="9"/>
      <c r="D10" s="9"/>
      <c r="E10" s="9"/>
      <c r="F10" s="9"/>
      <c r="G10" s="9"/>
      <c r="H10" s="9"/>
      <c r="I10" s="9">
        <f t="shared" si="1"/>
        <v>0</v>
      </c>
      <c r="J10" s="39" t="s">
        <v>122</v>
      </c>
      <c r="K10" s="9">
        <f>I9*1</f>
        <v>9</v>
      </c>
      <c r="L10" s="9"/>
      <c r="M10" s="9"/>
      <c r="N10" s="9"/>
      <c r="O10" s="31"/>
      <c r="P10" s="9"/>
    </row>
    <row r="11" ht="14.25" customHeight="1">
      <c r="B11" s="9"/>
      <c r="C11" s="9"/>
      <c r="D11" s="9"/>
      <c r="E11" s="9"/>
      <c r="F11" s="9"/>
      <c r="G11" s="9"/>
      <c r="H11" s="9">
        <v>1.0</v>
      </c>
      <c r="I11" s="9">
        <f t="shared" si="1"/>
        <v>1</v>
      </c>
      <c r="J11" s="39" t="s">
        <v>18</v>
      </c>
      <c r="K11" s="9"/>
      <c r="L11" s="9"/>
      <c r="M11" s="9"/>
      <c r="N11" s="9"/>
      <c r="O11" s="31"/>
      <c r="P11" s="9">
        <f>I11*1</f>
        <v>1</v>
      </c>
    </row>
    <row r="12" ht="14.25" customHeight="1">
      <c r="B12" s="9"/>
      <c r="C12" s="9"/>
      <c r="D12" s="9"/>
      <c r="E12" s="9"/>
      <c r="F12" s="9"/>
      <c r="G12" s="9"/>
      <c r="H12" s="9"/>
      <c r="I12" s="9">
        <f t="shared" si="1"/>
        <v>0</v>
      </c>
      <c r="J12" s="39" t="s">
        <v>123</v>
      </c>
      <c r="K12" s="9">
        <f>I12*1</f>
        <v>0</v>
      </c>
      <c r="L12" s="9"/>
      <c r="M12" s="9"/>
      <c r="N12" s="9"/>
      <c r="O12" s="31"/>
      <c r="P12" s="9"/>
    </row>
    <row r="13" ht="14.25" customHeight="1">
      <c r="B13" s="9"/>
      <c r="C13" s="9"/>
      <c r="D13" s="9"/>
      <c r="E13" s="9"/>
      <c r="F13" s="9"/>
      <c r="G13" s="9"/>
      <c r="H13" s="9">
        <v>7.0</v>
      </c>
      <c r="I13" s="9">
        <f t="shared" si="1"/>
        <v>7</v>
      </c>
      <c r="J13" s="40" t="s">
        <v>124</v>
      </c>
      <c r="K13" s="9"/>
      <c r="L13" s="9">
        <f t="shared" ref="L13:L14" si="3">I13*1</f>
        <v>7</v>
      </c>
      <c r="M13" s="9"/>
      <c r="N13" s="9"/>
      <c r="O13" s="31"/>
      <c r="P13" s="9"/>
    </row>
    <row r="14" ht="14.25" customHeight="1">
      <c r="B14" s="9"/>
      <c r="C14" s="9"/>
      <c r="D14" s="9"/>
      <c r="E14" s="9"/>
      <c r="F14" s="9"/>
      <c r="G14" s="9"/>
      <c r="H14" s="9">
        <v>6.0</v>
      </c>
      <c r="I14" s="9">
        <f t="shared" si="1"/>
        <v>6</v>
      </c>
      <c r="J14" s="40" t="s">
        <v>125</v>
      </c>
      <c r="K14" s="9"/>
      <c r="L14" s="9">
        <f t="shared" si="3"/>
        <v>6</v>
      </c>
      <c r="M14" s="9"/>
      <c r="N14" s="9"/>
      <c r="O14" s="31"/>
      <c r="P14" s="9"/>
    </row>
    <row r="15" ht="14.25" customHeight="1">
      <c r="B15" s="9"/>
      <c r="C15" s="9"/>
      <c r="D15" s="9"/>
      <c r="E15" s="9"/>
      <c r="F15" s="9"/>
      <c r="G15" s="9"/>
      <c r="H15" s="9"/>
      <c r="I15" s="9">
        <f t="shared" si="1"/>
        <v>0</v>
      </c>
      <c r="J15" s="40" t="s">
        <v>126</v>
      </c>
      <c r="K15" s="9"/>
      <c r="L15" s="9"/>
      <c r="M15" s="9"/>
      <c r="N15" s="9"/>
      <c r="O15" s="31"/>
      <c r="P15" s="9"/>
    </row>
    <row r="16" ht="14.25" customHeight="1">
      <c r="B16" s="9"/>
      <c r="C16" s="9"/>
      <c r="D16" s="9"/>
      <c r="E16" s="9"/>
      <c r="F16" s="9"/>
      <c r="G16" s="9"/>
      <c r="H16" s="9"/>
      <c r="I16" s="9">
        <f t="shared" si="1"/>
        <v>0</v>
      </c>
      <c r="J16" s="40" t="s">
        <v>127</v>
      </c>
      <c r="K16" s="9"/>
      <c r="L16" s="9">
        <f>I16*1</f>
        <v>0</v>
      </c>
      <c r="M16" s="9"/>
      <c r="N16" s="9"/>
      <c r="O16" s="31"/>
      <c r="P16" s="9"/>
    </row>
    <row r="17" ht="14.25" customHeight="1">
      <c r="B17" s="9"/>
      <c r="C17" s="9"/>
      <c r="D17" s="9"/>
      <c r="E17" s="9"/>
      <c r="F17" s="9"/>
      <c r="G17" s="9"/>
      <c r="H17" s="9">
        <v>1.0</v>
      </c>
      <c r="I17" s="9">
        <f t="shared" si="1"/>
        <v>1</v>
      </c>
      <c r="J17" s="40" t="s">
        <v>128</v>
      </c>
      <c r="K17" s="9"/>
      <c r="L17" s="9"/>
      <c r="M17" s="9"/>
      <c r="N17" s="9"/>
      <c r="O17" s="31"/>
      <c r="P17" s="9"/>
    </row>
    <row r="18" ht="14.25" customHeight="1">
      <c r="B18" s="9"/>
      <c r="C18" s="9"/>
      <c r="D18" s="9"/>
      <c r="E18" s="9"/>
      <c r="F18" s="9"/>
      <c r="G18" s="9"/>
      <c r="H18" s="9"/>
      <c r="I18" s="9">
        <f t="shared" si="1"/>
        <v>0</v>
      </c>
      <c r="J18" s="40" t="s">
        <v>129</v>
      </c>
      <c r="K18" s="9">
        <f>I18*1</f>
        <v>0</v>
      </c>
      <c r="L18" s="9"/>
      <c r="M18" s="9"/>
      <c r="N18" s="9"/>
      <c r="O18" s="31"/>
      <c r="P18" s="9"/>
    </row>
    <row r="19" ht="14.25" customHeight="1">
      <c r="B19" s="9"/>
      <c r="C19" s="9"/>
      <c r="D19" s="9"/>
      <c r="E19" s="9"/>
      <c r="F19" s="9"/>
      <c r="G19" s="9"/>
      <c r="H19" s="9"/>
      <c r="I19" s="9">
        <f t="shared" si="1"/>
        <v>0</v>
      </c>
      <c r="J19" s="40" t="s">
        <v>130</v>
      </c>
      <c r="K19" s="9"/>
      <c r="L19" s="9"/>
      <c r="M19" s="9"/>
      <c r="N19" s="9"/>
      <c r="O19" s="31"/>
      <c r="P19" s="9"/>
    </row>
    <row r="20" ht="14.25" customHeight="1">
      <c r="B20" s="9"/>
      <c r="C20" s="9"/>
      <c r="D20" s="9"/>
      <c r="E20" s="9"/>
      <c r="F20" s="9"/>
      <c r="G20" s="9"/>
      <c r="H20" s="9"/>
      <c r="I20" s="9">
        <f t="shared" si="1"/>
        <v>0</v>
      </c>
      <c r="J20" s="39" t="s">
        <v>131</v>
      </c>
      <c r="K20" s="9">
        <f t="shared" ref="K20:K21" si="4">I20*1</f>
        <v>0</v>
      </c>
      <c r="L20" s="9"/>
      <c r="M20" s="9"/>
      <c r="N20" s="9"/>
      <c r="O20" s="31"/>
      <c r="P20" s="9"/>
    </row>
    <row r="21" ht="14.25" customHeight="1">
      <c r="B21" s="9"/>
      <c r="C21" s="9"/>
      <c r="D21" s="9"/>
      <c r="E21" s="9"/>
      <c r="F21" s="9"/>
      <c r="G21" s="9"/>
      <c r="H21" s="9"/>
      <c r="I21" s="9">
        <f t="shared" si="1"/>
        <v>0</v>
      </c>
      <c r="J21" s="39" t="s">
        <v>132</v>
      </c>
      <c r="K21" s="9">
        <f t="shared" si="4"/>
        <v>0</v>
      </c>
      <c r="L21" s="9"/>
      <c r="M21" s="9"/>
      <c r="N21" s="9"/>
      <c r="O21" s="31"/>
      <c r="P21" s="9"/>
    </row>
    <row r="22" ht="14.25" customHeight="1">
      <c r="B22" s="9"/>
      <c r="C22" s="9"/>
      <c r="D22" s="9"/>
      <c r="E22" s="9"/>
      <c r="F22" s="9"/>
      <c r="G22" s="9"/>
      <c r="H22" s="9"/>
      <c r="I22" s="9">
        <f t="shared" si="1"/>
        <v>0</v>
      </c>
      <c r="J22" s="39" t="s">
        <v>6</v>
      </c>
      <c r="K22" s="9"/>
      <c r="L22" s="9"/>
      <c r="M22" s="9">
        <f>I22*1</f>
        <v>0</v>
      </c>
      <c r="N22" s="9"/>
      <c r="O22" s="31"/>
      <c r="P22" s="9"/>
    </row>
    <row r="23" ht="14.25" customHeight="1">
      <c r="B23" s="9"/>
      <c r="C23" s="9"/>
      <c r="D23" s="9"/>
      <c r="E23" s="9"/>
      <c r="F23" s="9"/>
      <c r="G23" s="9"/>
      <c r="H23" s="9"/>
      <c r="I23" s="9">
        <f t="shared" si="1"/>
        <v>0</v>
      </c>
      <c r="J23" s="39" t="s">
        <v>133</v>
      </c>
      <c r="K23" s="9"/>
      <c r="L23" s="9">
        <f>I23*1</f>
        <v>0</v>
      </c>
      <c r="M23" s="9"/>
      <c r="N23" s="9"/>
      <c r="O23" s="31"/>
      <c r="P23" s="9"/>
    </row>
    <row r="24" ht="14.25" customHeight="1">
      <c r="B24" s="9"/>
      <c r="C24" s="9"/>
      <c r="D24" s="9"/>
      <c r="E24" s="9"/>
      <c r="F24" s="9"/>
      <c r="G24" s="9"/>
      <c r="H24" s="9">
        <v>9.0</v>
      </c>
      <c r="I24" s="9">
        <f t="shared" si="1"/>
        <v>9</v>
      </c>
      <c r="J24" s="39" t="s">
        <v>134</v>
      </c>
      <c r="K24" s="9">
        <f>I24*1</f>
        <v>9</v>
      </c>
      <c r="L24" s="9"/>
      <c r="M24" s="9"/>
      <c r="N24" s="9"/>
      <c r="O24" s="31"/>
      <c r="P24" s="9"/>
    </row>
    <row r="25" ht="14.25" customHeight="1">
      <c r="B25" s="9"/>
      <c r="C25" s="9"/>
      <c r="D25" s="9"/>
      <c r="E25" s="9"/>
      <c r="F25" s="9"/>
      <c r="G25" s="9"/>
      <c r="H25" s="9">
        <v>5.0</v>
      </c>
      <c r="I25" s="9">
        <f t="shared" si="1"/>
        <v>5</v>
      </c>
      <c r="J25" s="39" t="s">
        <v>135</v>
      </c>
      <c r="K25" s="9"/>
      <c r="L25" s="9"/>
      <c r="M25" s="9"/>
      <c r="N25" s="9"/>
      <c r="O25" s="31">
        <f>I25*2</f>
        <v>10</v>
      </c>
      <c r="P25" s="9"/>
    </row>
    <row r="26" ht="14.25" customHeight="1">
      <c r="B26" s="9"/>
      <c r="C26" s="9"/>
      <c r="D26" s="9"/>
      <c r="E26" s="9"/>
      <c r="F26" s="9"/>
      <c r="G26" s="9"/>
      <c r="H26" s="9"/>
      <c r="I26" s="9">
        <f t="shared" si="1"/>
        <v>0</v>
      </c>
      <c r="J26" s="39" t="s">
        <v>136</v>
      </c>
      <c r="K26" s="9">
        <f>I26*1</f>
        <v>0</v>
      </c>
      <c r="L26" s="9"/>
      <c r="M26" s="9"/>
      <c r="N26" s="9"/>
      <c r="O26" s="31"/>
      <c r="P26" s="9"/>
    </row>
    <row r="27" ht="19.5" customHeight="1">
      <c r="B27" s="9"/>
      <c r="C27" s="9"/>
      <c r="D27" s="9"/>
      <c r="E27" s="9"/>
      <c r="F27" s="9"/>
      <c r="G27" s="9"/>
      <c r="H27" s="9"/>
      <c r="I27" s="9"/>
      <c r="J27" s="48" t="s">
        <v>113</v>
      </c>
      <c r="K27" s="48">
        <f t="shared" ref="K27:P27" si="5">SUM(K3:K26)</f>
        <v>36</v>
      </c>
      <c r="L27" s="48">
        <f t="shared" si="5"/>
        <v>13</v>
      </c>
      <c r="M27" s="48">
        <f t="shared" si="5"/>
        <v>16</v>
      </c>
      <c r="N27" s="48">
        <f t="shared" si="5"/>
        <v>22</v>
      </c>
      <c r="O27" s="49">
        <f t="shared" si="5"/>
        <v>10</v>
      </c>
      <c r="P27" s="48">
        <f t="shared" si="5"/>
        <v>1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2.71"/>
    <col customWidth="1" min="4" max="26" width="8.71"/>
  </cols>
  <sheetData>
    <row r="4">
      <c r="C4" s="5" t="s">
        <v>51</v>
      </c>
    </row>
    <row r="5">
      <c r="C5" s="5" t="s">
        <v>43</v>
      </c>
    </row>
    <row r="6">
      <c r="C6" s="5" t="s">
        <v>44</v>
      </c>
    </row>
    <row r="7">
      <c r="C7" s="5" t="s">
        <v>45</v>
      </c>
    </row>
    <row r="8">
      <c r="C8" s="5" t="s">
        <v>46</v>
      </c>
    </row>
    <row r="9">
      <c r="C9" s="5" t="s">
        <v>52</v>
      </c>
    </row>
    <row r="10">
      <c r="C10" s="9" t="s">
        <v>53</v>
      </c>
    </row>
    <row r="11">
      <c r="C11" s="9" t="s">
        <v>54</v>
      </c>
    </row>
    <row r="12">
      <c r="C12" s="9" t="s">
        <v>55</v>
      </c>
    </row>
    <row r="13">
      <c r="C13" s="9" t="s">
        <v>56</v>
      </c>
    </row>
    <row r="14">
      <c r="C14" s="9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2023-08-25T08:59:15Z</dcterms:created>
  <dc:creator>Dell</dc:creator>
</cp:coreProperties>
</file>