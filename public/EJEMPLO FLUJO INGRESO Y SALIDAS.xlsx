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2"/>
  <workbookPr/>
  <xr:revisionPtr revIDLastSave="15" documentId="11_7E4E55BF84DCCEE3ED7FF6F99031F45BFA722949" xr6:coauthVersionLast="47" xr6:coauthVersionMax="47" xr10:uidLastSave="{566CDE76-7525-4B5D-99FD-B437B261CAE1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2" i="1" l="1"/>
  <c r="Y92" i="1"/>
  <c r="Y93" i="1" s="1"/>
  <c r="X92" i="1"/>
  <c r="X93" i="1" s="1"/>
  <c r="O92" i="1"/>
  <c r="N92" i="1"/>
  <c r="M92" i="1"/>
  <c r="L92" i="1"/>
  <c r="K92" i="1"/>
  <c r="J92" i="1"/>
  <c r="I92" i="1"/>
  <c r="H92" i="1"/>
  <c r="G92" i="1"/>
  <c r="G93" i="1" s="1"/>
  <c r="F92" i="1"/>
  <c r="O93" i="1" s="1"/>
  <c r="AI16" i="1"/>
  <c r="AH16" i="1"/>
  <c r="AM15" i="1"/>
  <c r="AM13" i="1"/>
  <c r="AM14" i="1" s="1"/>
  <c r="AM6" i="1"/>
  <c r="AM5" i="1"/>
  <c r="AM7" i="1" s="1"/>
  <c r="AM4" i="1"/>
  <c r="AM3" i="1"/>
  <c r="AM8" i="1" l="1"/>
  <c r="AM9" i="1" s="1"/>
  <c r="AM10" i="1" s="1"/>
  <c r="AM16" i="1" s="1"/>
  <c r="Z93" i="1"/>
</calcChain>
</file>

<file path=xl/sharedStrings.xml><?xml version="1.0" encoding="utf-8"?>
<sst xmlns="http://schemas.openxmlformats.org/spreadsheetml/2006/main" count="97" uniqueCount="56">
  <si>
    <t>JULIO INGRESOS</t>
  </si>
  <si>
    <t>CPN GASTOS</t>
  </si>
  <si>
    <t>JOYA DEL MAR GASTOS</t>
  </si>
  <si>
    <t>CPN</t>
  </si>
  <si>
    <t>DOLARES</t>
  </si>
  <si>
    <t>TRANSFERENCIA</t>
  </si>
  <si>
    <t>FECHA</t>
  </si>
  <si>
    <t>MONEDA</t>
  </si>
  <si>
    <t>CAMBIO (VENTA)</t>
  </si>
  <si>
    <t>MEDIO</t>
  </si>
  <si>
    <t>DESCRIPCIÓN</t>
  </si>
  <si>
    <t>HOTEL DIRECTO</t>
  </si>
  <si>
    <t>RESTAURANTE</t>
  </si>
  <si>
    <t>TIENDA</t>
  </si>
  <si>
    <t>SPA</t>
  </si>
  <si>
    <t>TOURS</t>
  </si>
  <si>
    <t>BOOKING</t>
  </si>
  <si>
    <t>AIRBNB</t>
  </si>
  <si>
    <t>EXPEDIA</t>
  </si>
  <si>
    <t>MINIBAR</t>
  </si>
  <si>
    <t>FORMICA HOTELS</t>
  </si>
  <si>
    <t>CATEGORÍA</t>
  </si>
  <si>
    <t xml:space="preserve">DESCRIPCIÓN </t>
  </si>
  <si>
    <t>FACTURA / AUTORIZACIÓN</t>
  </si>
  <si>
    <t>CAMBIO (COMPRA)</t>
  </si>
  <si>
    <t>MONTO COLONES</t>
  </si>
  <si>
    <t>COMISIÓN BANCARIA</t>
  </si>
  <si>
    <t>MONTO DOLARES</t>
  </si>
  <si>
    <t>FACTURA</t>
  </si>
  <si>
    <t>CAMBIO</t>
  </si>
  <si>
    <t>COLONES</t>
  </si>
  <si>
    <t>EFECTIVO</t>
  </si>
  <si>
    <t>EFECTIVO INCIAL DEL MES</t>
  </si>
  <si>
    <t>AGUACATES</t>
  </si>
  <si>
    <t>INGRESOS DOLARES</t>
  </si>
  <si>
    <t>TARJETA</t>
  </si>
  <si>
    <t>02/072025</t>
  </si>
  <si>
    <t>TARJETA - EFECTIVO</t>
  </si>
  <si>
    <t>VENTA RESTAURANTE</t>
  </si>
  <si>
    <t>RECURSO HUMANO</t>
  </si>
  <si>
    <t>SEGUNDA QUINCENA  DE JUNIO A ASHLEY (LIMPIEZA)</t>
  </si>
  <si>
    <t>RESERVA 121</t>
  </si>
  <si>
    <t>SUPERMERCADO, BATERIAS PARA PESA DE COCINA</t>
  </si>
  <si>
    <t>GASTOS COLONES</t>
  </si>
  <si>
    <t>ALMACEN EL REY</t>
  </si>
  <si>
    <t>GASTOS DOLARES</t>
  </si>
  <si>
    <t>OPERACION</t>
  </si>
  <si>
    <t>GASOLINA CARRO</t>
  </si>
  <si>
    <t>BALANCE COLONES</t>
  </si>
  <si>
    <t>GOOGLE ADS</t>
  </si>
  <si>
    <t>SEGURO DE TARJETA 8664</t>
  </si>
  <si>
    <t>BALANCE DOLARES</t>
  </si>
  <si>
    <t>SEGURO TARJETA 8649</t>
  </si>
  <si>
    <t>Balance</t>
  </si>
  <si>
    <t>JDM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</si>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</sst>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.00"/>
    <numFmt numFmtId="165" formatCode="_-[$₡-140A]* #,##0.00_-;\-[$₡-140A]* #,##0.00_-;_-[$₡-140A]* &quot;-&quot;??_-;_-@_-"/>
    <numFmt numFmtId="166" formatCode="_-[$₡-140A]* #,##0_-;\-[$₡-140A]* #,##0_-;_-[$₡-140A]* &quot;-&quot;??_-;_-@_-"/>
    <numFmt numFmtId="167" formatCode="_-[$$-540A]* #,##0_ ;_-[$$-540A]* \-#,##0\ ;_-[$$-540A]* &quot;-&quot;??_ ;_-@_ "/>
    <numFmt numFmtId="168" formatCode="_-&quot;$&quot;\ * #,##0.00_-;\-&quot;$&quot;\ * #,##0.00_-;_-&quot;$&quot;\ * &quot;-&quot;??_-;_-@_-"/>
    <numFmt numFmtId="169" formatCode="_-[$$-540A]* #,##0.00_ ;_-[$$-540A]* \-#,##0.00\ ;_-[$$-540A]* &quot;-&quot;??_ ;_-@_ "/>
    <numFmt numFmtId="170" formatCode="_-[$$-409]* #,##0.00_ ;_-[$$-409]* \-#,##0.00\ ;_-[$$-409]* &quot;-&quot;??_ ;_-@_ 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name val="Calibri"/>
    </font>
    <font>
      <sz val="8"/>
      <color theme="1"/>
      <name val="Calibri"/>
    </font>
    <font>
      <b/>
      <sz val="18"/>
      <color theme="1"/>
      <name val="Calibri"/>
    </font>
    <font>
      <sz val="11"/>
      <color theme="1"/>
      <name val="Calibri"/>
    </font>
    <font>
      <sz val="8"/>
      <name val="Calibri"/>
    </font>
    <font>
      <b/>
      <sz val="9"/>
      <color rgb="FF000000"/>
      <name val="Calibri"/>
    </font>
    <font>
      <sz val="8"/>
      <color rgb="FF000000"/>
      <name val="Calibri"/>
    </font>
    <font>
      <b/>
      <sz val="11"/>
      <color theme="1"/>
      <name val="Calibri"/>
    </font>
    <font>
      <b/>
      <sz val="8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2" fillId="2" borderId="7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2" fontId="2" fillId="2" borderId="8" xfId="0" applyNumberFormat="1" applyFont="1" applyFill="1" applyBorder="1" applyAlignment="1">
      <alignment horizontal="center" vertical="center"/>
    </xf>
    <xf numFmtId="2" fontId="2" fillId="2" borderId="9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5" fontId="2" fillId="2" borderId="7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2" fontId="2" fillId="2" borderId="7" xfId="0" applyNumberFormat="1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166" fontId="2" fillId="2" borderId="9" xfId="0" applyNumberFormat="1" applyFont="1" applyFill="1" applyBorder="1" applyAlignment="1">
      <alignment horizontal="center" vertical="center"/>
    </xf>
    <xf numFmtId="166" fontId="2" fillId="2" borderId="10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7" fontId="2" fillId="3" borderId="7" xfId="0" applyNumberFormat="1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2" fontId="2" fillId="2" borderId="11" xfId="0" applyNumberFormat="1" applyFont="1" applyFill="1" applyBorder="1" applyAlignment="1">
      <alignment horizontal="center" vertical="center"/>
    </xf>
    <xf numFmtId="166" fontId="2" fillId="2" borderId="11" xfId="0" applyNumberFormat="1" applyFont="1" applyFill="1" applyBorder="1" applyAlignment="1">
      <alignment vertical="center"/>
    </xf>
    <xf numFmtId="166" fontId="2" fillId="2" borderId="11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167" fontId="2" fillId="3" borderId="11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4" fontId="6" fillId="0" borderId="15" xfId="0" applyNumberFormat="1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2" fontId="6" fillId="0" borderId="7" xfId="0" applyNumberFormat="1" applyFont="1" applyBorder="1" applyAlignment="1">
      <alignment horizontal="center" vertical="center"/>
    </xf>
    <xf numFmtId="16" fontId="6" fillId="0" borderId="15" xfId="0" applyNumberFormat="1" applyFont="1" applyBorder="1" applyAlignment="1">
      <alignment horizontal="center" vertical="center"/>
    </xf>
    <xf numFmtId="168" fontId="6" fillId="0" borderId="8" xfId="0" applyNumberFormat="1" applyFont="1" applyBorder="1" applyAlignment="1">
      <alignment horizontal="center" vertical="center"/>
    </xf>
    <xf numFmtId="165" fontId="6" fillId="0" borderId="7" xfId="0" applyNumberFormat="1" applyFont="1" applyBorder="1" applyAlignment="1">
      <alignment horizontal="left" vertical="center"/>
    </xf>
    <xf numFmtId="168" fontId="6" fillId="0" borderId="10" xfId="0" applyNumberFormat="1" applyFont="1" applyBorder="1" applyAlignment="1">
      <alignment vertical="center"/>
    </xf>
    <xf numFmtId="168" fontId="6" fillId="0" borderId="7" xfId="0" applyNumberFormat="1" applyFont="1" applyBorder="1" applyAlignment="1">
      <alignment vertical="center"/>
    </xf>
    <xf numFmtId="16" fontId="6" fillId="0" borderId="11" xfId="0" applyNumberFormat="1" applyFont="1" applyBorder="1" applyAlignment="1">
      <alignment horizontal="center" vertical="center"/>
    </xf>
    <xf numFmtId="16" fontId="6" fillId="0" borderId="11" xfId="0" applyNumberFormat="1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1" fontId="6" fillId="0" borderId="11" xfId="0" applyNumberFormat="1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1" fontId="6" fillId="0" borderId="16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center" vertical="center"/>
    </xf>
    <xf numFmtId="169" fontId="6" fillId="4" borderId="11" xfId="1" applyNumberFormat="1" applyFont="1" applyFill="1" applyBorder="1" applyAlignment="1">
      <alignment horizontal="center" vertical="center"/>
    </xf>
    <xf numFmtId="16" fontId="6" fillId="0" borderId="4" xfId="0" applyNumberFormat="1" applyFont="1" applyBorder="1" applyAlignment="1">
      <alignment horizontal="center" vertical="center"/>
    </xf>
    <xf numFmtId="16" fontId="6" fillId="0" borderId="9" xfId="0" applyNumberFormat="1" applyFont="1" applyBorder="1" applyAlignment="1">
      <alignment vertical="center"/>
    </xf>
    <xf numFmtId="16" fontId="6" fillId="0" borderId="3" xfId="0" applyNumberFormat="1" applyFont="1" applyBorder="1" applyAlignment="1">
      <alignment vertical="center"/>
    </xf>
    <xf numFmtId="16" fontId="6" fillId="0" borderId="11" xfId="0" applyNumberFormat="1" applyFont="1" applyBorder="1" applyAlignment="1">
      <alignment vertical="center"/>
    </xf>
    <xf numFmtId="169" fontId="6" fillId="4" borderId="9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169" fontId="3" fillId="0" borderId="3" xfId="0" applyNumberFormat="1" applyFont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/>
    </xf>
    <xf numFmtId="16" fontId="6" fillId="0" borderId="18" xfId="0" applyNumberFormat="1" applyFont="1" applyBorder="1" applyAlignment="1">
      <alignment horizontal="center" vertical="center"/>
    </xf>
    <xf numFmtId="16" fontId="6" fillId="0" borderId="16" xfId="0" applyNumberFormat="1" applyFont="1" applyBorder="1" applyAlignment="1">
      <alignment horizontal="center" vertical="center"/>
    </xf>
    <xf numFmtId="16" fontId="6" fillId="0" borderId="16" xfId="0" applyNumberFormat="1" applyFont="1" applyBorder="1" applyAlignment="1">
      <alignment horizontal="left" vertical="center"/>
    </xf>
    <xf numFmtId="0" fontId="6" fillId="0" borderId="16" xfId="0" applyFont="1" applyBorder="1" applyAlignment="1">
      <alignment vertical="center"/>
    </xf>
    <xf numFmtId="1" fontId="6" fillId="0" borderId="16" xfId="0" applyNumberFormat="1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70" fontId="3" fillId="0" borderId="1" xfId="0" applyNumberFormat="1" applyFont="1" applyBorder="1" applyAlignment="1">
      <alignment horizontal="center" vertical="center"/>
    </xf>
    <xf numFmtId="170" fontId="3" fillId="0" borderId="3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" fontId="6" fillId="5" borderId="12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4" fontId="6" fillId="0" borderId="19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0" fontId="3" fillId="0" borderId="12" xfId="0" applyNumberFormat="1" applyFont="1" applyBorder="1" applyAlignment="1">
      <alignment horizontal="center" vertical="center"/>
    </xf>
    <xf numFmtId="170" fontId="3" fillId="0" borderId="14" xfId="0" applyNumberFormat="1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2" fontId="6" fillId="0" borderId="9" xfId="0" applyNumberFormat="1" applyFont="1" applyBorder="1" applyAlignment="1">
      <alignment horizontal="center" vertical="center"/>
    </xf>
    <xf numFmtId="16" fontId="6" fillId="0" borderId="10" xfId="0" applyNumberFormat="1" applyFont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 vertical="center"/>
    </xf>
    <xf numFmtId="170" fontId="7" fillId="0" borderId="3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" fontId="6" fillId="0" borderId="6" xfId="0" applyNumberFormat="1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16" fontId="6" fillId="0" borderId="9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170" fontId="3" fillId="0" borderId="11" xfId="0" applyNumberFormat="1" applyFont="1" applyBorder="1" applyAlignment="1">
      <alignment horizontal="center" vertical="center"/>
    </xf>
    <xf numFmtId="2" fontId="6" fillId="0" borderId="11" xfId="0" applyNumberFormat="1" applyFont="1" applyBorder="1" applyAlignment="1">
      <alignment horizontal="center" vertical="center"/>
    </xf>
    <xf numFmtId="0" fontId="5" fillId="0" borderId="9" xfId="0" applyFont="1" applyBorder="1"/>
    <xf numFmtId="165" fontId="6" fillId="0" borderId="9" xfId="0" applyNumberFormat="1" applyFont="1" applyBorder="1" applyAlignment="1">
      <alignment horizontal="center" vertical="center"/>
    </xf>
    <xf numFmtId="169" fontId="3" fillId="0" borderId="12" xfId="0" applyNumberFormat="1" applyFont="1" applyBorder="1" applyAlignment="1">
      <alignment horizontal="center" vertical="center"/>
    </xf>
    <xf numFmtId="169" fontId="3" fillId="0" borderId="14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165" fontId="8" fillId="0" borderId="11" xfId="0" applyNumberFormat="1" applyFont="1" applyBorder="1" applyAlignment="1">
      <alignment horizontal="center" vertical="center"/>
    </xf>
    <xf numFmtId="169" fontId="6" fillId="0" borderId="3" xfId="1" applyNumberFormat="1" applyFont="1" applyFill="1" applyBorder="1" applyAlignment="1">
      <alignment horizontal="center" vertical="center"/>
    </xf>
    <xf numFmtId="170" fontId="7" fillId="4" borderId="1" xfId="0" applyNumberFormat="1" applyFont="1" applyFill="1" applyBorder="1" applyAlignment="1">
      <alignment horizontal="center" vertical="center"/>
    </xf>
    <xf numFmtId="170" fontId="7" fillId="4" borderId="3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9" fontId="3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16" fontId="6" fillId="0" borderId="0" xfId="0" applyNumberFormat="1" applyFont="1" applyAlignment="1">
      <alignment vertical="center"/>
    </xf>
    <xf numFmtId="1" fontId="6" fillId="0" borderId="7" xfId="0" applyNumberFormat="1" applyFont="1" applyBorder="1" applyAlignment="1">
      <alignment horizontal="center" vertical="center"/>
    </xf>
    <xf numFmtId="2" fontId="6" fillId="0" borderId="20" xfId="0" applyNumberFormat="1" applyFont="1" applyBorder="1" applyAlignment="1">
      <alignment horizontal="center" vertical="center"/>
    </xf>
    <xf numFmtId="16" fontId="6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169" fontId="3" fillId="0" borderId="0" xfId="0" applyNumberFormat="1" applyFont="1" applyAlignment="1">
      <alignment vertical="center"/>
    </xf>
    <xf numFmtId="0" fontId="6" fillId="0" borderId="9" xfId="0" applyFont="1" applyBorder="1" applyAlignment="1">
      <alignment vertical="center"/>
    </xf>
    <xf numFmtId="16" fontId="6" fillId="0" borderId="9" xfId="0" applyNumberFormat="1" applyFont="1" applyBorder="1" applyAlignment="1">
      <alignment horizontal="left" vertical="center"/>
    </xf>
    <xf numFmtId="1" fontId="6" fillId="0" borderId="9" xfId="0" applyNumberFormat="1" applyFont="1" applyBorder="1" applyAlignment="1">
      <alignment horizontal="left" vertical="center"/>
    </xf>
    <xf numFmtId="1" fontId="6" fillId="0" borderId="21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2" fontId="6" fillId="0" borderId="10" xfId="0" applyNumberFormat="1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8" fontId="2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right"/>
    </xf>
    <xf numFmtId="0" fontId="9" fillId="0" borderId="13" xfId="0" applyFont="1" applyBorder="1" applyAlignment="1">
      <alignment horizontal="right"/>
    </xf>
    <xf numFmtId="0" fontId="9" fillId="0" borderId="14" xfId="0" applyFont="1" applyBorder="1" applyAlignment="1">
      <alignment horizontal="right"/>
    </xf>
    <xf numFmtId="165" fontId="9" fillId="0" borderId="21" xfId="0" applyNumberFormat="1" applyFont="1" applyBorder="1"/>
    <xf numFmtId="165" fontId="6" fillId="0" borderId="0" xfId="0" applyNumberFormat="1" applyFont="1" applyAlignment="1">
      <alignment horizontal="center" vertical="center"/>
    </xf>
    <xf numFmtId="14" fontId="5" fillId="0" borderId="11" xfId="0" applyNumberFormat="1" applyFont="1" applyBorder="1"/>
    <xf numFmtId="164" fontId="5" fillId="0" borderId="11" xfId="0" applyNumberFormat="1" applyFont="1" applyBorder="1"/>
    <xf numFmtId="2" fontId="5" fillId="0" borderId="16" xfId="0" applyNumberFormat="1" applyFont="1" applyBorder="1"/>
    <xf numFmtId="2" fontId="5" fillId="0" borderId="11" xfId="0" applyNumberFormat="1" applyFont="1" applyBorder="1"/>
    <xf numFmtId="0" fontId="5" fillId="0" borderId="11" xfId="0" applyFont="1" applyBorder="1"/>
    <xf numFmtId="170" fontId="2" fillId="0" borderId="1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70" fontId="6" fillId="0" borderId="11" xfId="0" applyNumberFormat="1" applyFont="1" applyBorder="1" applyAlignment="1">
      <alignment horizontal="center" vertical="center"/>
    </xf>
    <xf numFmtId="170" fontId="5" fillId="0" borderId="11" xfId="0" applyNumberFormat="1" applyFont="1" applyBorder="1"/>
    <xf numFmtId="0" fontId="10" fillId="0" borderId="0" xfId="0" applyFont="1" applyAlignment="1">
      <alignment vertical="center"/>
    </xf>
    <xf numFmtId="169" fontId="10" fillId="0" borderId="0" xfId="0" applyNumberFormat="1" applyFont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3"/>
  <sheetViews>
    <sheetView tabSelected="1" topLeftCell="A50" workbookViewId="0">
      <selection activeCell="K6" sqref="K6"/>
    </sheetView>
  </sheetViews>
  <sheetFormatPr defaultRowHeight="15"/>
  <cols>
    <col min="1" max="1" width="9.7109375" style="13" bestFit="1" customWidth="1"/>
    <col min="2" max="2" width="8.5703125" style="13" bestFit="1" customWidth="1"/>
    <col min="3" max="3" width="15" style="13" bestFit="1" customWidth="1"/>
    <col min="4" max="4" width="18.5703125" style="13" customWidth="1"/>
    <col min="5" max="5" width="18.42578125" style="13" customWidth="1"/>
    <col min="6" max="6" width="14.28515625" style="13" bestFit="1" customWidth="1"/>
    <col min="7" max="7" width="14" style="13" bestFit="1" customWidth="1"/>
    <col min="8" max="8" width="11.5703125" style="13" bestFit="1" customWidth="1"/>
    <col min="9" max="9" width="6.42578125" style="13" customWidth="1"/>
    <col min="10" max="10" width="6.5703125" style="13" bestFit="1" customWidth="1"/>
    <col min="11" max="11" width="8.85546875" style="13" bestFit="1" customWidth="1"/>
    <col min="12" max="12" width="7.85546875" style="13" bestFit="1" customWidth="1"/>
    <col min="13" max="13" width="8.5703125" style="13" bestFit="1" customWidth="1"/>
    <col min="14" max="14" width="8.28515625" style="13" bestFit="1" customWidth="1"/>
    <col min="15" max="15" width="15.7109375" style="13" bestFit="1" customWidth="1"/>
    <col min="16" max="16" width="4.5703125" style="13" customWidth="1"/>
    <col min="17" max="17" width="7.42578125" style="13" bestFit="1" customWidth="1"/>
    <col min="18" max="18" width="18" style="13" customWidth="1"/>
    <col min="19" max="19" width="34.5703125" style="13" customWidth="1"/>
    <col min="20" max="20" width="35.140625" style="13" customWidth="1"/>
    <col min="21" max="21" width="9" style="13" customWidth="1"/>
    <col min="22" max="22" width="17.7109375" style="13" bestFit="1" customWidth="1"/>
    <col min="23" max="23" width="14.5703125" style="13" bestFit="1" customWidth="1"/>
    <col min="24" max="24" width="15.5703125" style="13" bestFit="1" customWidth="1"/>
    <col min="25" max="25" width="11.7109375" style="13" bestFit="1" customWidth="1"/>
    <col min="26" max="26" width="11.5703125" style="13" bestFit="1" customWidth="1"/>
    <col min="27" max="27" width="5.42578125" style="13" customWidth="1"/>
    <col min="28" max="28" width="9.140625" style="13"/>
    <col min="29" max="29" width="39.85546875" style="13" customWidth="1"/>
    <col min="30" max="30" width="19.42578125" style="13" customWidth="1"/>
    <col min="31" max="32" width="9.140625" style="13"/>
    <col min="33" max="34" width="15.5703125" style="13" customWidth="1"/>
    <col min="35" max="35" width="11" style="13" customWidth="1"/>
    <col min="36" max="36" width="5" style="13" customWidth="1"/>
    <col min="37" max="39" width="9.140625" style="13"/>
    <col min="40" max="40" width="10.85546875" style="13" customWidth="1"/>
    <col min="41" max="42" width="9.140625" style="13" hidden="1" customWidth="1"/>
    <col min="43" max="44" width="4.140625" style="13" customWidth="1"/>
    <col min="45" max="16384" width="9.140625" style="13"/>
  </cols>
  <sheetData>
    <row r="1" spans="1:4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1" t="s">
        <v>1</v>
      </c>
      <c r="R1" s="1"/>
      <c r="S1" s="1"/>
      <c r="T1" s="1"/>
      <c r="U1" s="1"/>
      <c r="V1" s="1"/>
      <c r="W1" s="1"/>
      <c r="X1" s="1"/>
      <c r="Y1" s="1"/>
      <c r="Z1" s="1"/>
      <c r="AA1" s="3"/>
      <c r="AB1" s="4" t="s">
        <v>2</v>
      </c>
      <c r="AC1" s="5"/>
      <c r="AD1" s="5"/>
      <c r="AE1" s="5"/>
      <c r="AF1" s="5"/>
      <c r="AG1" s="5"/>
      <c r="AH1" s="5"/>
      <c r="AI1" s="6"/>
      <c r="AJ1" s="1"/>
      <c r="AK1" s="7" t="s">
        <v>3</v>
      </c>
      <c r="AL1" s="8"/>
      <c r="AM1" s="8"/>
      <c r="AN1" s="9"/>
      <c r="AO1" s="10" t="s">
        <v>4</v>
      </c>
      <c r="AP1" s="10" t="s">
        <v>5</v>
      </c>
      <c r="AQ1" s="11"/>
      <c r="AR1" s="12"/>
    </row>
    <row r="2" spans="1:44" ht="23.25">
      <c r="A2" s="14" t="s">
        <v>6</v>
      </c>
      <c r="B2" s="15" t="s">
        <v>7</v>
      </c>
      <c r="C2" s="16" t="s">
        <v>8</v>
      </c>
      <c r="D2" s="17" t="s">
        <v>9</v>
      </c>
      <c r="E2" s="18" t="s">
        <v>10</v>
      </c>
      <c r="F2" s="19" t="s">
        <v>11</v>
      </c>
      <c r="G2" s="20" t="s">
        <v>12</v>
      </c>
      <c r="H2" s="19" t="s">
        <v>13</v>
      </c>
      <c r="I2" s="19" t="s">
        <v>14</v>
      </c>
      <c r="J2" s="19" t="s">
        <v>15</v>
      </c>
      <c r="K2" s="19" t="s">
        <v>16</v>
      </c>
      <c r="L2" s="19" t="s">
        <v>17</v>
      </c>
      <c r="M2" s="19" t="s">
        <v>18</v>
      </c>
      <c r="N2" s="19" t="s">
        <v>19</v>
      </c>
      <c r="O2" s="19" t="s">
        <v>20</v>
      </c>
      <c r="P2" s="2"/>
      <c r="Q2" s="21" t="s">
        <v>6</v>
      </c>
      <c r="R2" s="21" t="s">
        <v>21</v>
      </c>
      <c r="S2" s="19" t="s">
        <v>22</v>
      </c>
      <c r="T2" s="22" t="s">
        <v>23</v>
      </c>
      <c r="U2" s="23" t="s">
        <v>7</v>
      </c>
      <c r="V2" s="24" t="s">
        <v>24</v>
      </c>
      <c r="W2" s="25" t="s">
        <v>9</v>
      </c>
      <c r="X2" s="26" t="s">
        <v>25</v>
      </c>
      <c r="Y2" s="26" t="s">
        <v>26</v>
      </c>
      <c r="Z2" s="27" t="s">
        <v>27</v>
      </c>
      <c r="AA2" s="3"/>
      <c r="AB2" s="28" t="s">
        <v>6</v>
      </c>
      <c r="AC2" s="29" t="s">
        <v>22</v>
      </c>
      <c r="AD2" s="30" t="s">
        <v>28</v>
      </c>
      <c r="AE2" s="29" t="s">
        <v>7</v>
      </c>
      <c r="AF2" s="31" t="s">
        <v>29</v>
      </c>
      <c r="AG2" s="32" t="s">
        <v>9</v>
      </c>
      <c r="AH2" s="33" t="s">
        <v>25</v>
      </c>
      <c r="AI2" s="34" t="s">
        <v>27</v>
      </c>
      <c r="AJ2" s="1"/>
      <c r="AK2" s="35"/>
      <c r="AL2" s="36"/>
      <c r="AM2" s="36"/>
      <c r="AN2" s="37"/>
      <c r="AO2" s="10" t="s">
        <v>30</v>
      </c>
      <c r="AP2" s="10" t="s">
        <v>31</v>
      </c>
      <c r="AQ2" s="11"/>
      <c r="AR2" s="12"/>
    </row>
    <row r="3" spans="1:44">
      <c r="A3" s="38">
        <v>45839</v>
      </c>
      <c r="B3" s="39"/>
      <c r="C3" s="40"/>
      <c r="D3" s="41"/>
      <c r="E3" s="42" t="s">
        <v>32</v>
      </c>
      <c r="F3" s="43">
        <v>585308</v>
      </c>
      <c r="G3" s="44">
        <v>0</v>
      </c>
      <c r="H3" s="45">
        <v>0</v>
      </c>
      <c r="I3" s="46">
        <v>0</v>
      </c>
      <c r="J3" s="46">
        <v>0</v>
      </c>
      <c r="K3" s="46">
        <v>0</v>
      </c>
      <c r="L3" s="46">
        <v>0</v>
      </c>
      <c r="M3" s="46">
        <v>0</v>
      </c>
      <c r="N3" s="46">
        <v>0</v>
      </c>
      <c r="O3" s="46">
        <v>0</v>
      </c>
      <c r="P3" s="2"/>
      <c r="Q3" s="47">
        <v>45840</v>
      </c>
      <c r="R3" s="48" t="s">
        <v>12</v>
      </c>
      <c r="S3" s="49" t="s">
        <v>33</v>
      </c>
      <c r="T3" s="50"/>
      <c r="U3" s="51" t="s">
        <v>30</v>
      </c>
      <c r="V3" s="52"/>
      <c r="W3" s="53" t="s">
        <v>31</v>
      </c>
      <c r="X3" s="54">
        <v>51000</v>
      </c>
      <c r="Y3" s="54">
        <v>0</v>
      </c>
      <c r="Z3" s="55">
        <v>0</v>
      </c>
      <c r="AA3" s="3"/>
      <c r="AB3" s="56"/>
      <c r="AC3" s="57"/>
      <c r="AD3" s="58"/>
      <c r="AE3" s="51"/>
      <c r="AF3" s="59"/>
      <c r="AG3" s="47"/>
      <c r="AH3" s="54">
        <v>0</v>
      </c>
      <c r="AI3" s="60">
        <v>0</v>
      </c>
      <c r="AJ3" s="1"/>
      <c r="AK3" s="61" t="s">
        <v>34</v>
      </c>
      <c r="AL3" s="62"/>
      <c r="AM3" s="63">
        <f>F92+H92+I92+J92+K92+L92+M92+N92+N92</f>
        <v>585408</v>
      </c>
      <c r="AN3" s="64"/>
      <c r="AP3" s="13" t="s">
        <v>35</v>
      </c>
      <c r="AQ3" s="11"/>
      <c r="AR3" s="12"/>
    </row>
    <row r="4" spans="1:44">
      <c r="A4" s="38" t="s">
        <v>36</v>
      </c>
      <c r="B4" s="39" t="s">
        <v>30</v>
      </c>
      <c r="C4" s="65"/>
      <c r="D4" s="41" t="s">
        <v>37</v>
      </c>
      <c r="E4" s="66" t="s">
        <v>38</v>
      </c>
      <c r="F4" s="43">
        <v>0</v>
      </c>
      <c r="G4" s="44">
        <v>100000</v>
      </c>
      <c r="H4" s="45">
        <v>0</v>
      </c>
      <c r="I4" s="46">
        <v>0</v>
      </c>
      <c r="J4" s="46">
        <v>0</v>
      </c>
      <c r="K4" s="46">
        <v>0</v>
      </c>
      <c r="L4" s="46">
        <v>0</v>
      </c>
      <c r="M4" s="46">
        <v>0</v>
      </c>
      <c r="N4" s="46">
        <v>0</v>
      </c>
      <c r="O4" s="46">
        <v>0</v>
      </c>
      <c r="P4" s="2"/>
      <c r="Q4" s="67">
        <v>45840</v>
      </c>
      <c r="R4" s="68" t="s">
        <v>39</v>
      </c>
      <c r="S4" s="69" t="s">
        <v>40</v>
      </c>
      <c r="T4" s="70"/>
      <c r="U4" s="71" t="s">
        <v>30</v>
      </c>
      <c r="V4" s="52"/>
      <c r="W4" s="72" t="s">
        <v>5</v>
      </c>
      <c r="X4" s="54">
        <v>198000</v>
      </c>
      <c r="Y4" s="54">
        <v>0</v>
      </c>
      <c r="Z4" s="55">
        <v>0</v>
      </c>
      <c r="AA4" s="3"/>
      <c r="AB4" s="56"/>
      <c r="AC4" s="57"/>
      <c r="AD4" s="58"/>
      <c r="AE4" s="51"/>
      <c r="AF4" s="59"/>
      <c r="AG4" s="47"/>
      <c r="AH4" s="54">
        <v>0</v>
      </c>
      <c r="AI4" s="60">
        <v>0</v>
      </c>
      <c r="AJ4" s="1"/>
      <c r="AK4" s="61" t="s">
        <v>20</v>
      </c>
      <c r="AL4" s="62"/>
      <c r="AM4" s="73">
        <f>O92</f>
        <v>0</v>
      </c>
      <c r="AN4" s="74"/>
      <c r="AQ4" s="11"/>
      <c r="AR4" s="12"/>
    </row>
    <row r="5" spans="1:44">
      <c r="A5" s="38">
        <v>45840</v>
      </c>
      <c r="B5" s="39" t="s">
        <v>4</v>
      </c>
      <c r="C5" s="65"/>
      <c r="D5" s="41" t="s">
        <v>35</v>
      </c>
      <c r="E5" s="66" t="s">
        <v>41</v>
      </c>
      <c r="F5" s="43">
        <v>0</v>
      </c>
      <c r="G5" s="44">
        <v>0</v>
      </c>
      <c r="H5" s="45">
        <v>0</v>
      </c>
      <c r="I5" s="46">
        <v>0</v>
      </c>
      <c r="J5" s="46">
        <v>0</v>
      </c>
      <c r="K5" s="46">
        <v>100</v>
      </c>
      <c r="L5" s="46">
        <v>0</v>
      </c>
      <c r="M5" s="46">
        <v>0</v>
      </c>
      <c r="N5" s="46">
        <v>0</v>
      </c>
      <c r="O5" s="46">
        <v>0</v>
      </c>
      <c r="P5" s="2"/>
      <c r="Q5" s="67">
        <v>45840</v>
      </c>
      <c r="R5" s="68" t="s">
        <v>12</v>
      </c>
      <c r="S5" s="69" t="s">
        <v>42</v>
      </c>
      <c r="T5" s="70"/>
      <c r="U5" s="71" t="s">
        <v>30</v>
      </c>
      <c r="V5" s="52"/>
      <c r="W5" s="72" t="s">
        <v>35</v>
      </c>
      <c r="X5" s="54">
        <v>2600</v>
      </c>
      <c r="Y5" s="54">
        <v>0</v>
      </c>
      <c r="Z5" s="55">
        <v>0</v>
      </c>
      <c r="AA5" s="3"/>
      <c r="AB5" s="56"/>
      <c r="AC5" s="57"/>
      <c r="AD5" s="58"/>
      <c r="AE5" s="51"/>
      <c r="AF5" s="59"/>
      <c r="AG5" s="47"/>
      <c r="AH5" s="54">
        <v>0</v>
      </c>
      <c r="AI5" s="60">
        <v>0</v>
      </c>
      <c r="AJ5" s="1"/>
      <c r="AK5" s="61" t="s">
        <v>43</v>
      </c>
      <c r="AL5" s="62"/>
      <c r="AM5" s="75">
        <f>X92+Y92</f>
        <v>338944</v>
      </c>
      <c r="AN5" s="76"/>
      <c r="AQ5" s="11"/>
      <c r="AR5" s="12"/>
    </row>
    <row r="6" spans="1:44">
      <c r="A6" s="38"/>
      <c r="B6" s="39"/>
      <c r="C6" s="65"/>
      <c r="D6" s="41"/>
      <c r="E6" s="66"/>
      <c r="F6" s="43">
        <v>0</v>
      </c>
      <c r="G6" s="44">
        <v>0</v>
      </c>
      <c r="H6" s="45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v>0</v>
      </c>
      <c r="O6" s="46">
        <v>0</v>
      </c>
      <c r="P6" s="2"/>
      <c r="Q6" s="67">
        <v>45840</v>
      </c>
      <c r="R6" s="68" t="s">
        <v>12</v>
      </c>
      <c r="S6" s="69" t="s">
        <v>44</v>
      </c>
      <c r="T6" s="70"/>
      <c r="U6" s="71" t="s">
        <v>30</v>
      </c>
      <c r="V6" s="52"/>
      <c r="W6" s="77" t="s">
        <v>35</v>
      </c>
      <c r="X6" s="54">
        <v>3575</v>
      </c>
      <c r="Y6" s="54">
        <v>0</v>
      </c>
      <c r="Z6" s="55">
        <v>0</v>
      </c>
      <c r="AA6" s="3"/>
      <c r="AB6" s="56"/>
      <c r="AC6" s="57"/>
      <c r="AD6" s="58"/>
      <c r="AE6" s="51"/>
      <c r="AF6" s="59"/>
      <c r="AG6" s="47"/>
      <c r="AH6" s="54">
        <v>0</v>
      </c>
      <c r="AI6" s="60">
        <v>0</v>
      </c>
      <c r="AJ6" s="1"/>
      <c r="AK6" s="61" t="s">
        <v>45</v>
      </c>
      <c r="AL6" s="62"/>
      <c r="AM6" s="73">
        <f>Z92</f>
        <v>0</v>
      </c>
      <c r="AN6" s="74"/>
      <c r="AQ6" s="11"/>
      <c r="AR6" s="12"/>
    </row>
    <row r="7" spans="1:44">
      <c r="A7" s="38"/>
      <c r="B7" s="39"/>
      <c r="C7" s="65"/>
      <c r="D7" s="41"/>
      <c r="E7" s="66"/>
      <c r="F7" s="43">
        <v>0</v>
      </c>
      <c r="G7" s="44">
        <v>0</v>
      </c>
      <c r="H7" s="45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v>0</v>
      </c>
      <c r="O7" s="46">
        <v>0</v>
      </c>
      <c r="P7" s="2"/>
      <c r="Q7" s="47">
        <v>45840</v>
      </c>
      <c r="R7" s="48" t="s">
        <v>46</v>
      </c>
      <c r="S7" s="49" t="s">
        <v>47</v>
      </c>
      <c r="T7" s="50"/>
      <c r="U7" s="51" t="s">
        <v>30</v>
      </c>
      <c r="V7" s="52"/>
      <c r="W7" s="77" t="s">
        <v>35</v>
      </c>
      <c r="X7" s="54">
        <v>20000</v>
      </c>
      <c r="Y7" s="54">
        <v>0</v>
      </c>
      <c r="Z7" s="55">
        <v>0</v>
      </c>
      <c r="AA7" s="3"/>
      <c r="AB7" s="56"/>
      <c r="AC7" s="57"/>
      <c r="AD7" s="58"/>
      <c r="AE7" s="51"/>
      <c r="AF7" s="59"/>
      <c r="AG7" s="47"/>
      <c r="AH7" s="54">
        <v>0</v>
      </c>
      <c r="AI7" s="60">
        <v>0</v>
      </c>
      <c r="AJ7" s="1"/>
      <c r="AK7" s="78" t="s">
        <v>48</v>
      </c>
      <c r="AL7" s="79"/>
      <c r="AM7" s="80" t="e">
        <f>#REF!-AM5</f>
        <v>#REF!</v>
      </c>
      <c r="AN7" s="81"/>
      <c r="AQ7" s="11"/>
      <c r="AR7" s="12"/>
    </row>
    <row r="8" spans="1:44">
      <c r="A8" s="82"/>
      <c r="B8" s="39"/>
      <c r="C8" s="65"/>
      <c r="D8" s="41"/>
      <c r="E8" s="66"/>
      <c r="F8" s="43">
        <v>0</v>
      </c>
      <c r="G8" s="44">
        <v>0</v>
      </c>
      <c r="H8" s="45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v>0</v>
      </c>
      <c r="O8" s="46">
        <v>0</v>
      </c>
      <c r="P8" s="2"/>
      <c r="Q8" s="47">
        <v>45840</v>
      </c>
      <c r="R8" s="48" t="s">
        <v>46</v>
      </c>
      <c r="S8" s="49" t="s">
        <v>49</v>
      </c>
      <c r="T8" s="50"/>
      <c r="U8" s="51" t="s">
        <v>30</v>
      </c>
      <c r="V8" s="52"/>
      <c r="W8" s="53" t="s">
        <v>35</v>
      </c>
      <c r="X8" s="54">
        <v>5299</v>
      </c>
      <c r="Y8" s="54">
        <v>0</v>
      </c>
      <c r="Z8" s="55">
        <v>0</v>
      </c>
      <c r="AA8" s="3"/>
      <c r="AB8" s="56"/>
      <c r="AC8" s="57"/>
      <c r="AD8" s="58"/>
      <c r="AE8" s="51"/>
      <c r="AF8" s="59"/>
      <c r="AG8" s="47"/>
      <c r="AH8" s="54">
        <v>0</v>
      </c>
      <c r="AI8" s="60">
        <v>0</v>
      </c>
      <c r="AJ8" s="1"/>
      <c r="AK8" s="83"/>
      <c r="AL8" s="83"/>
      <c r="AM8" s="73" t="e">
        <f>AM7/514</f>
        <v>#REF!</v>
      </c>
      <c r="AN8" s="74"/>
      <c r="AQ8" s="11"/>
      <c r="AR8" s="12"/>
    </row>
    <row r="9" spans="1:44">
      <c r="A9" s="38"/>
      <c r="B9" s="39"/>
      <c r="C9" s="65"/>
      <c r="D9" s="41"/>
      <c r="E9" s="66"/>
      <c r="F9" s="43">
        <v>0</v>
      </c>
      <c r="G9" s="44">
        <v>0</v>
      </c>
      <c r="H9" s="45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v>0</v>
      </c>
      <c r="O9" s="46">
        <v>0</v>
      </c>
      <c r="P9" s="2"/>
      <c r="Q9" s="47">
        <v>45840</v>
      </c>
      <c r="R9" s="48" t="s">
        <v>46</v>
      </c>
      <c r="S9" s="49" t="s">
        <v>50</v>
      </c>
      <c r="T9" s="50"/>
      <c r="U9" s="51" t="s">
        <v>30</v>
      </c>
      <c r="V9" s="52"/>
      <c r="W9" s="53" t="s">
        <v>5</v>
      </c>
      <c r="X9" s="54">
        <v>3603</v>
      </c>
      <c r="Y9" s="54">
        <v>0</v>
      </c>
      <c r="Z9" s="55">
        <v>0</v>
      </c>
      <c r="AA9" s="3"/>
      <c r="AB9" s="56"/>
      <c r="AC9" s="57"/>
      <c r="AD9" s="58"/>
      <c r="AE9" s="51"/>
      <c r="AF9" s="59"/>
      <c r="AG9" s="47"/>
      <c r="AH9" s="54">
        <v>0</v>
      </c>
      <c r="AI9" s="60">
        <v>0</v>
      </c>
      <c r="AJ9" s="1"/>
      <c r="AK9" s="84" t="s">
        <v>51</v>
      </c>
      <c r="AL9" s="85"/>
      <c r="AM9" s="86" t="e">
        <f>AM3+AM4-AM6+AM8</f>
        <v>#REF!</v>
      </c>
      <c r="AN9" s="87"/>
      <c r="AQ9" s="11"/>
      <c r="AR9" s="12"/>
    </row>
    <row r="10" spans="1:44">
      <c r="A10" s="88"/>
      <c r="B10" s="89"/>
      <c r="C10" s="90"/>
      <c r="D10" s="91"/>
      <c r="E10" s="92"/>
      <c r="F10" s="43">
        <v>0</v>
      </c>
      <c r="G10" s="44">
        <v>0</v>
      </c>
      <c r="H10" s="45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2"/>
      <c r="Q10" s="47">
        <v>45840</v>
      </c>
      <c r="R10" s="48" t="s">
        <v>46</v>
      </c>
      <c r="S10" s="49" t="s">
        <v>52</v>
      </c>
      <c r="T10" s="50"/>
      <c r="U10" s="51" t="s">
        <v>30</v>
      </c>
      <c r="V10" s="52"/>
      <c r="W10" s="53" t="s">
        <v>5</v>
      </c>
      <c r="X10" s="54">
        <v>3603</v>
      </c>
      <c r="Y10" s="54">
        <v>0</v>
      </c>
      <c r="Z10" s="55">
        <v>0</v>
      </c>
      <c r="AA10" s="3"/>
      <c r="AB10" s="56"/>
      <c r="AC10" s="57"/>
      <c r="AD10" s="58"/>
      <c r="AE10" s="51"/>
      <c r="AF10" s="59"/>
      <c r="AG10" s="47"/>
      <c r="AH10" s="54">
        <v>0</v>
      </c>
      <c r="AI10" s="60">
        <v>0</v>
      </c>
      <c r="AJ10" s="1"/>
      <c r="AK10" s="61" t="s">
        <v>53</v>
      </c>
      <c r="AL10" s="62"/>
      <c r="AM10" s="93" t="e">
        <f>AM7/525+AM9</f>
        <v>#REF!</v>
      </c>
      <c r="AN10" s="94"/>
      <c r="AQ10" s="11"/>
      <c r="AR10" s="12"/>
    </row>
    <row r="11" spans="1:44">
      <c r="A11" s="38"/>
      <c r="B11" s="39"/>
      <c r="C11" s="65"/>
      <c r="D11" s="41"/>
      <c r="E11" s="66"/>
      <c r="F11" s="43">
        <v>0</v>
      </c>
      <c r="G11" s="44">
        <v>0</v>
      </c>
      <c r="H11" s="45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v>0</v>
      </c>
      <c r="O11" s="46">
        <v>0</v>
      </c>
      <c r="P11" s="2"/>
      <c r="Q11" s="47">
        <v>45840</v>
      </c>
      <c r="R11" s="48" t="s">
        <v>46</v>
      </c>
      <c r="S11" s="49" t="s">
        <v>49</v>
      </c>
      <c r="T11" s="50"/>
      <c r="U11" s="51" t="s">
        <v>30</v>
      </c>
      <c r="V11" s="52"/>
      <c r="W11" s="53"/>
      <c r="X11" s="54">
        <v>51264</v>
      </c>
      <c r="Y11" s="54">
        <v>0</v>
      </c>
      <c r="Z11" s="55">
        <v>0</v>
      </c>
      <c r="AA11" s="3"/>
      <c r="AB11" s="56"/>
      <c r="AC11" s="57"/>
      <c r="AD11" s="58"/>
      <c r="AE11" s="51"/>
      <c r="AF11" s="59"/>
      <c r="AG11" s="47"/>
      <c r="AH11" s="54">
        <v>0</v>
      </c>
      <c r="AI11" s="60">
        <v>0</v>
      </c>
      <c r="AJ11" s="1"/>
      <c r="AK11" s="95" t="s">
        <v>54</v>
      </c>
      <c r="AL11" s="95"/>
      <c r="AM11" s="95"/>
      <c r="AN11" s="95"/>
      <c r="AQ11" s="11"/>
      <c r="AR11" s="12"/>
    </row>
    <row r="12" spans="1:44">
      <c r="A12" s="38"/>
      <c r="B12" s="39"/>
      <c r="C12" s="65"/>
      <c r="D12" s="41"/>
      <c r="E12" s="66"/>
      <c r="F12" s="43">
        <v>0</v>
      </c>
      <c r="G12" s="44">
        <v>0</v>
      </c>
      <c r="H12" s="45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2"/>
      <c r="Q12" s="47"/>
      <c r="R12" s="48"/>
      <c r="S12" s="49"/>
      <c r="T12" s="50"/>
      <c r="U12" s="51"/>
      <c r="V12" s="52"/>
      <c r="W12" s="53"/>
      <c r="X12" s="54">
        <v>0</v>
      </c>
      <c r="Y12" s="54">
        <v>0</v>
      </c>
      <c r="Z12" s="55">
        <v>0</v>
      </c>
      <c r="AA12" s="3"/>
      <c r="AB12" s="56"/>
      <c r="AC12" s="57"/>
      <c r="AD12" s="58"/>
      <c r="AE12" s="51"/>
      <c r="AF12" s="59"/>
      <c r="AG12" s="47"/>
      <c r="AH12" s="54">
        <v>0</v>
      </c>
      <c r="AI12" s="60">
        <v>0</v>
      </c>
      <c r="AJ12" s="1"/>
      <c r="AK12" s="95"/>
      <c r="AL12" s="95"/>
      <c r="AM12" s="95"/>
      <c r="AN12" s="95"/>
      <c r="AQ12" s="11"/>
      <c r="AR12" s="12"/>
    </row>
    <row r="13" spans="1:44">
      <c r="A13" s="88"/>
      <c r="B13" s="39"/>
      <c r="C13" s="65"/>
      <c r="D13" s="41"/>
      <c r="E13" s="66"/>
      <c r="F13" s="43">
        <v>0</v>
      </c>
      <c r="G13" s="44">
        <v>0</v>
      </c>
      <c r="H13" s="45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2"/>
      <c r="Q13" s="47"/>
      <c r="R13" s="48"/>
      <c r="S13" s="49"/>
      <c r="T13" s="50"/>
      <c r="U13" s="51"/>
      <c r="V13" s="52"/>
      <c r="W13" s="53"/>
      <c r="X13" s="54">
        <v>0</v>
      </c>
      <c r="Y13" s="54">
        <v>0</v>
      </c>
      <c r="Z13" s="55">
        <v>0</v>
      </c>
      <c r="AA13" s="3"/>
      <c r="AB13" s="56"/>
      <c r="AC13" s="57"/>
      <c r="AD13" s="96"/>
      <c r="AE13" s="97"/>
      <c r="AF13" s="57"/>
      <c r="AG13" s="98"/>
      <c r="AH13" s="54">
        <v>0</v>
      </c>
      <c r="AI13" s="60">
        <v>0</v>
      </c>
      <c r="AJ13" s="1"/>
      <c r="AK13" s="99" t="s">
        <v>43</v>
      </c>
      <c r="AL13" s="99"/>
      <c r="AM13" s="100">
        <f>AH16</f>
        <v>0</v>
      </c>
      <c r="AN13" s="100"/>
      <c r="AQ13" s="11"/>
      <c r="AR13" s="12"/>
    </row>
    <row r="14" spans="1:44">
      <c r="A14" s="38"/>
      <c r="B14" s="39"/>
      <c r="C14" s="40"/>
      <c r="D14" s="41"/>
      <c r="E14" s="42"/>
      <c r="F14" s="43">
        <v>0</v>
      </c>
      <c r="G14" s="44">
        <v>0</v>
      </c>
      <c r="H14" s="45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2"/>
      <c r="Q14" s="47"/>
      <c r="R14" s="48"/>
      <c r="S14" s="49"/>
      <c r="T14" s="50"/>
      <c r="U14" s="51"/>
      <c r="V14" s="52"/>
      <c r="W14" s="53"/>
      <c r="X14" s="54">
        <v>0</v>
      </c>
      <c r="Y14" s="54">
        <v>0</v>
      </c>
      <c r="Z14" s="55">
        <v>0</v>
      </c>
      <c r="AA14" s="3"/>
      <c r="AB14" s="47"/>
      <c r="AC14" s="59"/>
      <c r="AD14" s="59"/>
      <c r="AE14" s="51"/>
      <c r="AF14" s="59"/>
      <c r="AG14" s="47"/>
      <c r="AH14" s="54">
        <v>0</v>
      </c>
      <c r="AI14" s="60">
        <v>0</v>
      </c>
      <c r="AJ14" s="1"/>
      <c r="AK14" s="83"/>
      <c r="AL14" s="83"/>
      <c r="AM14" s="101">
        <f>AM13/514</f>
        <v>0</v>
      </c>
      <c r="AN14" s="101"/>
      <c r="AQ14" s="11"/>
      <c r="AR14" s="12"/>
    </row>
    <row r="15" spans="1:44">
      <c r="A15" s="88"/>
      <c r="B15" s="39"/>
      <c r="C15" s="65"/>
      <c r="D15" s="102"/>
      <c r="E15" s="66"/>
      <c r="F15" s="43">
        <v>0</v>
      </c>
      <c r="G15" s="44">
        <v>0</v>
      </c>
      <c r="H15" s="45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v>0</v>
      </c>
      <c r="O15" s="46">
        <v>0</v>
      </c>
      <c r="P15" s="2"/>
      <c r="Q15" s="47"/>
      <c r="R15" s="48"/>
      <c r="S15" s="49"/>
      <c r="T15" s="50"/>
      <c r="U15" s="51"/>
      <c r="V15" s="52"/>
      <c r="W15" s="53"/>
      <c r="X15" s="54">
        <v>0</v>
      </c>
      <c r="Y15" s="54">
        <v>0</v>
      </c>
      <c r="Z15" s="55">
        <v>0</v>
      </c>
      <c r="AA15" s="3"/>
      <c r="AB15" s="103"/>
      <c r="AC15" s="103"/>
      <c r="AD15" s="103"/>
      <c r="AE15" s="103"/>
      <c r="AF15" s="103"/>
      <c r="AG15" s="103"/>
      <c r="AH15" s="104">
        <v>0</v>
      </c>
      <c r="AI15" s="60">
        <v>0</v>
      </c>
      <c r="AJ15" s="1"/>
      <c r="AK15" s="84" t="s">
        <v>45</v>
      </c>
      <c r="AL15" s="85"/>
      <c r="AM15" s="105">
        <f>AI16</f>
        <v>0</v>
      </c>
      <c r="AN15" s="106"/>
      <c r="AQ15" s="11"/>
      <c r="AR15" s="12"/>
    </row>
    <row r="16" spans="1:44">
      <c r="A16" s="38"/>
      <c r="B16" s="39"/>
      <c r="C16" s="65"/>
      <c r="D16" s="102"/>
      <c r="E16" s="66"/>
      <c r="F16" s="43">
        <v>0</v>
      </c>
      <c r="G16" s="44">
        <v>0</v>
      </c>
      <c r="H16" s="45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v>0</v>
      </c>
      <c r="O16" s="46">
        <v>0</v>
      </c>
      <c r="P16" s="2"/>
      <c r="Q16" s="47"/>
      <c r="R16" s="48"/>
      <c r="S16" s="49"/>
      <c r="T16" s="50"/>
      <c r="U16" s="51"/>
      <c r="V16" s="52"/>
      <c r="W16" s="53"/>
      <c r="X16" s="54">
        <v>0</v>
      </c>
      <c r="Y16" s="54">
        <v>0</v>
      </c>
      <c r="Z16" s="55">
        <v>0</v>
      </c>
      <c r="AA16" s="3"/>
      <c r="AB16" s="47"/>
      <c r="AC16" s="49"/>
      <c r="AD16" s="102"/>
      <c r="AE16" s="51"/>
      <c r="AF16" s="54"/>
      <c r="AG16" s="107"/>
      <c r="AH16" s="108">
        <f>SUM(AH3:AH15)</f>
        <v>0</v>
      </c>
      <c r="AI16" s="109">
        <f>SUM(AI3:AI15)</f>
        <v>0</v>
      </c>
      <c r="AJ16" s="1"/>
      <c r="AK16" s="61" t="s">
        <v>53</v>
      </c>
      <c r="AL16" s="62"/>
      <c r="AM16" s="110" t="e">
        <f>AM10-AM14-AM15</f>
        <v>#REF!</v>
      </c>
      <c r="AN16" s="111"/>
      <c r="AQ16" s="11"/>
      <c r="AR16" s="12"/>
    </row>
    <row r="17" spans="1:44">
      <c r="A17" s="38"/>
      <c r="B17" s="39"/>
      <c r="C17" s="65"/>
      <c r="D17" s="102"/>
      <c r="E17" s="66"/>
      <c r="F17" s="43">
        <v>0</v>
      </c>
      <c r="G17" s="44">
        <v>0</v>
      </c>
      <c r="H17" s="45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v>0</v>
      </c>
      <c r="O17" s="46">
        <v>0</v>
      </c>
      <c r="P17" s="2"/>
      <c r="Q17" s="47"/>
      <c r="R17" s="48"/>
      <c r="S17" s="49"/>
      <c r="T17" s="50"/>
      <c r="U17" s="51"/>
      <c r="V17" s="52"/>
      <c r="W17" s="53"/>
      <c r="X17" s="54">
        <v>0</v>
      </c>
      <c r="Y17" s="54">
        <v>0</v>
      </c>
      <c r="Z17" s="55">
        <v>0</v>
      </c>
      <c r="AA17" s="3"/>
      <c r="AB17" s="112"/>
      <c r="AJ17" s="1"/>
      <c r="AK17" s="113"/>
      <c r="AL17" s="114"/>
      <c r="AM17" s="115"/>
      <c r="AN17" s="115"/>
      <c r="AQ17" s="11"/>
      <c r="AR17" s="12"/>
    </row>
    <row r="18" spans="1:44">
      <c r="A18" s="88"/>
      <c r="B18" s="89"/>
      <c r="C18" s="90"/>
      <c r="D18" s="102"/>
      <c r="E18" s="92"/>
      <c r="F18" s="43">
        <v>0</v>
      </c>
      <c r="G18" s="44">
        <v>0</v>
      </c>
      <c r="H18" s="45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v>0</v>
      </c>
      <c r="O18" s="46">
        <v>0</v>
      </c>
      <c r="P18" s="2"/>
      <c r="Q18" s="47"/>
      <c r="R18" s="48"/>
      <c r="S18" s="49"/>
      <c r="T18" s="50"/>
      <c r="U18" s="51"/>
      <c r="V18" s="52"/>
      <c r="W18" s="53"/>
      <c r="X18" s="54">
        <v>0</v>
      </c>
      <c r="Y18" s="54">
        <v>0</v>
      </c>
      <c r="Z18" s="55">
        <v>0</v>
      </c>
      <c r="AA18" s="3"/>
      <c r="AB18" s="112"/>
      <c r="AJ18" s="1"/>
      <c r="AK18" s="113"/>
      <c r="AL18" s="114"/>
      <c r="AM18" s="115"/>
      <c r="AN18" s="115"/>
      <c r="AQ18" s="11"/>
      <c r="AR18" s="12"/>
    </row>
    <row r="19" spans="1:44">
      <c r="A19" s="38"/>
      <c r="B19" s="39"/>
      <c r="C19" s="65"/>
      <c r="D19" s="102"/>
      <c r="E19" s="66"/>
      <c r="F19" s="43">
        <v>0</v>
      </c>
      <c r="G19" s="44">
        <v>0</v>
      </c>
      <c r="H19" s="45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v>0</v>
      </c>
      <c r="O19" s="46">
        <v>0</v>
      </c>
      <c r="P19" s="2"/>
      <c r="Q19" s="47"/>
      <c r="R19" s="48"/>
      <c r="S19" s="49"/>
      <c r="T19" s="50"/>
      <c r="U19" s="51"/>
      <c r="V19" s="52"/>
      <c r="W19" s="53"/>
      <c r="X19" s="54">
        <v>0</v>
      </c>
      <c r="Y19" s="54">
        <v>0</v>
      </c>
      <c r="Z19" s="55">
        <v>0</v>
      </c>
      <c r="AA19" s="3"/>
      <c r="AJ19" s="1"/>
      <c r="AK19" s="113"/>
      <c r="AL19" s="113"/>
      <c r="AM19" s="115"/>
      <c r="AN19" s="115"/>
      <c r="AQ19" s="11"/>
      <c r="AR19" s="12"/>
    </row>
    <row r="20" spans="1:44">
      <c r="A20" s="88"/>
      <c r="B20" s="89"/>
      <c r="C20" s="90"/>
      <c r="D20" s="102"/>
      <c r="E20" s="92"/>
      <c r="F20" s="43">
        <v>0</v>
      </c>
      <c r="G20" s="44">
        <v>0</v>
      </c>
      <c r="H20" s="45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v>0</v>
      </c>
      <c r="O20" s="46">
        <v>0</v>
      </c>
      <c r="P20" s="2"/>
      <c r="Q20" s="47"/>
      <c r="R20" s="48"/>
      <c r="S20" s="49"/>
      <c r="T20" s="50"/>
      <c r="U20" s="51"/>
      <c r="V20" s="52"/>
      <c r="W20" s="53"/>
      <c r="X20" s="54">
        <v>0</v>
      </c>
      <c r="Y20" s="54">
        <v>0</v>
      </c>
      <c r="Z20" s="55">
        <v>0</v>
      </c>
      <c r="AA20" s="3"/>
      <c r="AB20" s="112"/>
      <c r="AJ20" s="1"/>
      <c r="AK20" s="113"/>
      <c r="AL20" s="113"/>
      <c r="AM20" s="115"/>
      <c r="AN20" s="115"/>
      <c r="AQ20" s="11"/>
      <c r="AR20" s="12"/>
    </row>
    <row r="21" spans="1:44">
      <c r="A21" s="88"/>
      <c r="B21" s="89"/>
      <c r="C21" s="90"/>
      <c r="D21" s="102"/>
      <c r="E21" s="92"/>
      <c r="F21" s="43">
        <v>0</v>
      </c>
      <c r="G21" s="44">
        <v>0</v>
      </c>
      <c r="H21" s="45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2"/>
      <c r="Q21" s="47"/>
      <c r="R21" s="48"/>
      <c r="S21" s="49"/>
      <c r="T21" s="50"/>
      <c r="U21" s="51"/>
      <c r="V21" s="52"/>
      <c r="W21" s="53"/>
      <c r="X21" s="54">
        <v>0</v>
      </c>
      <c r="Y21" s="54">
        <v>0</v>
      </c>
      <c r="Z21" s="55">
        <v>0</v>
      </c>
      <c r="AA21" s="3"/>
      <c r="AB21" s="116"/>
      <c r="AJ21" s="1"/>
      <c r="AK21" s="115"/>
      <c r="AL21" s="113"/>
      <c r="AM21" s="115"/>
      <c r="AN21" s="115"/>
      <c r="AQ21" s="11"/>
      <c r="AR21" s="12"/>
    </row>
    <row r="22" spans="1:44">
      <c r="A22" s="38"/>
      <c r="B22" s="89"/>
      <c r="C22" s="90"/>
      <c r="D22" s="102"/>
      <c r="E22" s="92"/>
      <c r="F22" s="43">
        <v>0</v>
      </c>
      <c r="G22" s="44">
        <v>0</v>
      </c>
      <c r="H22" s="45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2"/>
      <c r="Q22" s="47"/>
      <c r="R22" s="48"/>
      <c r="S22" s="49"/>
      <c r="T22" s="50"/>
      <c r="U22" s="51"/>
      <c r="V22" s="52"/>
      <c r="W22" s="53"/>
      <c r="X22" s="54">
        <v>0</v>
      </c>
      <c r="Y22" s="54">
        <v>0</v>
      </c>
      <c r="Z22" s="55">
        <v>0</v>
      </c>
      <c r="AA22" s="3"/>
      <c r="AB22" s="117"/>
      <c r="AC22" s="117"/>
      <c r="AD22" s="117"/>
      <c r="AE22" s="117"/>
      <c r="AF22" s="117"/>
      <c r="AG22" s="117"/>
      <c r="AJ22" s="1"/>
      <c r="AK22" s="115"/>
      <c r="AL22" s="113"/>
      <c r="AM22" s="115"/>
      <c r="AN22" s="115"/>
      <c r="AQ22" s="11"/>
      <c r="AR22" s="12"/>
    </row>
    <row r="23" spans="1:44">
      <c r="A23" s="88"/>
      <c r="B23" s="89"/>
      <c r="C23" s="90"/>
      <c r="D23" s="102"/>
      <c r="E23" s="92"/>
      <c r="F23" s="43">
        <v>0</v>
      </c>
      <c r="G23" s="44">
        <v>0</v>
      </c>
      <c r="H23" s="45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2"/>
      <c r="Q23" s="47"/>
      <c r="R23" s="48"/>
      <c r="S23" s="49"/>
      <c r="T23" s="50"/>
      <c r="U23" s="51"/>
      <c r="V23" s="52"/>
      <c r="W23" s="53"/>
      <c r="X23" s="54">
        <v>0</v>
      </c>
      <c r="Y23" s="54">
        <v>0</v>
      </c>
      <c r="Z23" s="55">
        <v>0</v>
      </c>
      <c r="AA23" s="3"/>
      <c r="AJ23" s="1"/>
      <c r="AK23" s="115"/>
      <c r="AL23" s="113"/>
      <c r="AM23" s="115"/>
      <c r="AN23" s="115"/>
      <c r="AQ23" s="11"/>
      <c r="AR23" s="12"/>
    </row>
    <row r="24" spans="1:44">
      <c r="A24" s="88"/>
      <c r="B24" s="89"/>
      <c r="C24" s="118"/>
      <c r="D24" s="119"/>
      <c r="E24" s="120"/>
      <c r="F24" s="43">
        <v>0</v>
      </c>
      <c r="G24" s="44">
        <v>0</v>
      </c>
      <c r="H24" s="45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2"/>
      <c r="Q24" s="47"/>
      <c r="R24" s="48"/>
      <c r="S24" s="49"/>
      <c r="T24" s="50"/>
      <c r="U24" s="51"/>
      <c r="V24" s="52"/>
      <c r="W24" s="53"/>
      <c r="X24" s="54">
        <v>0</v>
      </c>
      <c r="Y24" s="54">
        <v>0</v>
      </c>
      <c r="Z24" s="55">
        <v>0</v>
      </c>
      <c r="AA24" s="3"/>
      <c r="AJ24" s="1"/>
      <c r="AK24" s="115"/>
      <c r="AL24" s="113"/>
      <c r="AM24" s="115"/>
      <c r="AN24" s="115"/>
      <c r="AQ24" s="11"/>
      <c r="AR24" s="12"/>
    </row>
    <row r="25" spans="1:44">
      <c r="A25" s="38"/>
      <c r="B25" s="39"/>
      <c r="C25" s="40"/>
      <c r="D25" s="41"/>
      <c r="E25" s="42"/>
      <c r="F25" s="43">
        <v>0</v>
      </c>
      <c r="G25" s="44">
        <v>0</v>
      </c>
      <c r="H25" s="45">
        <v>0</v>
      </c>
      <c r="I25" s="46">
        <v>0</v>
      </c>
      <c r="J25" s="46">
        <v>0</v>
      </c>
      <c r="K25" s="46">
        <v>0</v>
      </c>
      <c r="L25" s="46">
        <v>0</v>
      </c>
      <c r="M25" s="46">
        <v>0</v>
      </c>
      <c r="N25" s="46">
        <v>0</v>
      </c>
      <c r="O25" s="46">
        <v>0</v>
      </c>
      <c r="P25" s="2"/>
      <c r="Q25" s="47"/>
      <c r="R25" s="48"/>
      <c r="S25" s="49"/>
      <c r="T25" s="50"/>
      <c r="U25" s="51"/>
      <c r="V25" s="52"/>
      <c r="W25" s="53"/>
      <c r="X25" s="54">
        <v>0</v>
      </c>
      <c r="Y25" s="54">
        <v>0</v>
      </c>
      <c r="Z25" s="55">
        <v>0</v>
      </c>
      <c r="AA25" s="3"/>
      <c r="AJ25" s="1"/>
      <c r="AK25" s="115"/>
      <c r="AL25" s="113"/>
      <c r="AM25" s="115"/>
      <c r="AN25" s="115"/>
      <c r="AQ25" s="11"/>
      <c r="AR25" s="12"/>
    </row>
    <row r="26" spans="1:44">
      <c r="A26" s="88"/>
      <c r="B26" s="89"/>
      <c r="C26" s="118"/>
      <c r="D26" s="41"/>
      <c r="E26" s="120"/>
      <c r="F26" s="43">
        <v>0</v>
      </c>
      <c r="G26" s="44">
        <v>0</v>
      </c>
      <c r="H26" s="45">
        <v>0</v>
      </c>
      <c r="I26" s="46">
        <v>0</v>
      </c>
      <c r="J26" s="46">
        <v>0</v>
      </c>
      <c r="K26" s="46">
        <v>0</v>
      </c>
      <c r="L26" s="46">
        <v>0</v>
      </c>
      <c r="M26" s="46">
        <v>0</v>
      </c>
      <c r="N26" s="46">
        <v>0</v>
      </c>
      <c r="O26" s="46">
        <v>0</v>
      </c>
      <c r="P26" s="2"/>
      <c r="Q26" s="47"/>
      <c r="R26" s="48"/>
      <c r="S26" s="49"/>
      <c r="T26" s="50"/>
      <c r="U26" s="51"/>
      <c r="V26" s="52"/>
      <c r="W26" s="53"/>
      <c r="X26" s="54">
        <v>0</v>
      </c>
      <c r="Y26" s="54">
        <v>0</v>
      </c>
      <c r="Z26" s="55">
        <v>0</v>
      </c>
      <c r="AA26" s="3"/>
      <c r="AJ26" s="1"/>
      <c r="AK26" s="115"/>
      <c r="AL26" s="113"/>
      <c r="AM26" s="115"/>
      <c r="AN26" s="115"/>
      <c r="AQ26" s="11"/>
      <c r="AR26" s="12"/>
    </row>
    <row r="27" spans="1:44">
      <c r="A27" s="88"/>
      <c r="B27" s="89"/>
      <c r="C27" s="118"/>
      <c r="D27" s="41"/>
      <c r="E27" s="120"/>
      <c r="F27" s="43">
        <v>0</v>
      </c>
      <c r="G27" s="44">
        <v>0</v>
      </c>
      <c r="H27" s="45">
        <v>0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>
        <v>0</v>
      </c>
      <c r="O27" s="46">
        <v>0</v>
      </c>
      <c r="P27" s="2"/>
      <c r="Q27" s="47"/>
      <c r="R27" s="48"/>
      <c r="S27" s="49"/>
      <c r="T27" s="50"/>
      <c r="U27" s="51"/>
      <c r="V27" s="52"/>
      <c r="W27" s="53"/>
      <c r="X27" s="54">
        <v>0</v>
      </c>
      <c r="Y27" s="54">
        <v>0</v>
      </c>
      <c r="Z27" s="55">
        <v>0</v>
      </c>
      <c r="AA27" s="3"/>
      <c r="AB27" s="112"/>
      <c r="AJ27" s="1"/>
      <c r="AK27" s="115"/>
      <c r="AL27" s="113"/>
      <c r="AM27" s="115"/>
      <c r="AN27" s="115"/>
      <c r="AQ27" s="11"/>
      <c r="AR27" s="12"/>
    </row>
    <row r="28" spans="1:44">
      <c r="A28" s="38"/>
      <c r="B28" s="89"/>
      <c r="C28" s="40"/>
      <c r="D28" s="41"/>
      <c r="E28" s="42"/>
      <c r="F28" s="43">
        <v>0</v>
      </c>
      <c r="G28" s="44">
        <v>0</v>
      </c>
      <c r="H28" s="45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v>0</v>
      </c>
      <c r="O28" s="46">
        <v>0</v>
      </c>
      <c r="P28" s="2"/>
      <c r="Q28" s="47"/>
      <c r="R28" s="48"/>
      <c r="S28" s="49"/>
      <c r="T28" s="50"/>
      <c r="U28" s="51"/>
      <c r="V28" s="52"/>
      <c r="W28" s="53"/>
      <c r="X28" s="54">
        <v>0</v>
      </c>
      <c r="Y28" s="54">
        <v>0</v>
      </c>
      <c r="Z28" s="55">
        <v>0</v>
      </c>
      <c r="AA28" s="3"/>
      <c r="AB28" s="112"/>
      <c r="AJ28" s="1"/>
      <c r="AK28" s="113"/>
      <c r="AL28" s="113"/>
      <c r="AM28" s="115"/>
      <c r="AN28" s="115"/>
      <c r="AQ28" s="11"/>
      <c r="AR28" s="12"/>
    </row>
    <row r="29" spans="1:44">
      <c r="A29" s="88"/>
      <c r="B29" s="89"/>
      <c r="C29" s="118"/>
      <c r="D29" s="41"/>
      <c r="E29" s="120"/>
      <c r="F29" s="43">
        <v>0</v>
      </c>
      <c r="G29" s="44">
        <v>0</v>
      </c>
      <c r="H29" s="45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v>0</v>
      </c>
      <c r="O29" s="46">
        <v>0</v>
      </c>
      <c r="P29" s="2"/>
      <c r="Q29" s="47"/>
      <c r="R29" s="48"/>
      <c r="S29" s="49"/>
      <c r="T29" s="50"/>
      <c r="U29" s="51"/>
      <c r="V29" s="52"/>
      <c r="W29" s="53"/>
      <c r="X29" s="54">
        <v>0</v>
      </c>
      <c r="Y29" s="54">
        <v>0</v>
      </c>
      <c r="Z29" s="55">
        <v>0</v>
      </c>
      <c r="AA29" s="3"/>
      <c r="AJ29" s="1"/>
      <c r="AK29" s="115"/>
      <c r="AL29" s="121"/>
      <c r="AM29" s="122"/>
      <c r="AN29" s="122"/>
      <c r="AQ29" s="11"/>
      <c r="AR29" s="12"/>
    </row>
    <row r="30" spans="1:44">
      <c r="A30" s="88"/>
      <c r="B30" s="89"/>
      <c r="C30" s="118"/>
      <c r="D30" s="41"/>
      <c r="E30" s="120"/>
      <c r="F30" s="43">
        <v>0</v>
      </c>
      <c r="G30" s="44">
        <v>0</v>
      </c>
      <c r="H30" s="45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2"/>
      <c r="Q30" s="47"/>
      <c r="R30" s="48"/>
      <c r="S30" s="49"/>
      <c r="T30" s="50"/>
      <c r="U30" s="51"/>
      <c r="V30" s="52"/>
      <c r="W30" s="53"/>
      <c r="X30" s="54">
        <v>0</v>
      </c>
      <c r="Y30" s="54">
        <v>0</v>
      </c>
      <c r="Z30" s="55">
        <v>0</v>
      </c>
      <c r="AA30" s="3"/>
      <c r="AB30" s="112"/>
      <c r="AJ30" s="1"/>
      <c r="AK30" s="115"/>
      <c r="AL30" s="121"/>
      <c r="AM30" s="123"/>
      <c r="AN30" s="123"/>
      <c r="AQ30" s="11"/>
      <c r="AR30" s="12"/>
    </row>
    <row r="31" spans="1:44">
      <c r="A31" s="88"/>
      <c r="B31" s="89"/>
      <c r="C31" s="118"/>
      <c r="D31" s="41"/>
      <c r="E31" s="120"/>
      <c r="F31" s="43">
        <v>0</v>
      </c>
      <c r="G31" s="44">
        <v>0</v>
      </c>
      <c r="H31" s="45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46">
        <v>0</v>
      </c>
      <c r="P31" s="2"/>
      <c r="Q31" s="47"/>
      <c r="R31" s="48"/>
      <c r="S31" s="124"/>
      <c r="T31" s="50"/>
      <c r="U31" s="51"/>
      <c r="V31" s="52"/>
      <c r="W31" s="53"/>
      <c r="X31" s="54">
        <v>0</v>
      </c>
      <c r="Y31" s="54">
        <v>0</v>
      </c>
      <c r="Z31" s="55">
        <v>0</v>
      </c>
      <c r="AA31" s="3"/>
      <c r="AB31" s="116"/>
      <c r="AJ31" s="1"/>
      <c r="AK31" s="115"/>
      <c r="AL31" s="121"/>
      <c r="AM31" s="123"/>
      <c r="AN31" s="123"/>
      <c r="AQ31" s="11"/>
      <c r="AR31" s="12"/>
    </row>
    <row r="32" spans="1:44">
      <c r="A32" s="38"/>
      <c r="B32" s="39"/>
      <c r="C32" s="40"/>
      <c r="D32" s="41"/>
      <c r="E32" s="42"/>
      <c r="F32" s="43">
        <v>0</v>
      </c>
      <c r="G32" s="44">
        <v>0</v>
      </c>
      <c r="H32" s="45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v>0</v>
      </c>
      <c r="O32" s="46">
        <v>0</v>
      </c>
      <c r="P32" s="2"/>
      <c r="Q32" s="47"/>
      <c r="R32" s="48"/>
      <c r="S32" s="49"/>
      <c r="T32" s="50"/>
      <c r="U32" s="51"/>
      <c r="V32" s="52"/>
      <c r="W32" s="53"/>
      <c r="X32" s="54">
        <v>0</v>
      </c>
      <c r="Y32" s="54">
        <v>0</v>
      </c>
      <c r="Z32" s="55">
        <v>0</v>
      </c>
      <c r="AA32" s="3"/>
      <c r="AB32" s="117"/>
      <c r="AC32" s="117"/>
      <c r="AD32" s="117"/>
      <c r="AE32" s="117"/>
      <c r="AF32" s="117"/>
      <c r="AG32" s="117"/>
      <c r="AJ32" s="1"/>
      <c r="AK32" s="115"/>
      <c r="AL32" s="121"/>
      <c r="AM32" s="123"/>
      <c r="AN32" s="123"/>
      <c r="AQ32" s="11"/>
      <c r="AR32" s="12"/>
    </row>
    <row r="33" spans="1:44">
      <c r="A33" s="38"/>
      <c r="B33" s="39"/>
      <c r="C33" s="40"/>
      <c r="D33" s="41"/>
      <c r="E33" s="42"/>
      <c r="F33" s="43">
        <v>0</v>
      </c>
      <c r="G33" s="44">
        <v>0</v>
      </c>
      <c r="H33" s="45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v>0</v>
      </c>
      <c r="O33" s="46">
        <v>0</v>
      </c>
      <c r="P33" s="2"/>
      <c r="Q33" s="47"/>
      <c r="R33" s="48"/>
      <c r="S33" s="49"/>
      <c r="T33" s="50"/>
      <c r="U33" s="51"/>
      <c r="V33" s="52"/>
      <c r="W33" s="53"/>
      <c r="X33" s="54">
        <v>0</v>
      </c>
      <c r="Y33" s="54">
        <v>0</v>
      </c>
      <c r="Z33" s="55">
        <v>0</v>
      </c>
      <c r="AA33" s="3"/>
      <c r="AB33" s="117"/>
      <c r="AD33" s="117"/>
      <c r="AE33" s="117"/>
      <c r="AF33" s="117"/>
      <c r="AG33" s="117"/>
      <c r="AJ33" s="1"/>
      <c r="AK33" s="115"/>
      <c r="AL33" s="121"/>
      <c r="AM33" s="123"/>
      <c r="AN33" s="123"/>
      <c r="AQ33" s="11"/>
      <c r="AR33" s="12"/>
    </row>
    <row r="34" spans="1:44">
      <c r="A34" s="38"/>
      <c r="B34" s="39"/>
      <c r="C34" s="40"/>
      <c r="D34" s="41"/>
      <c r="E34" s="42"/>
      <c r="F34" s="43">
        <v>0</v>
      </c>
      <c r="G34" s="44">
        <v>0</v>
      </c>
      <c r="H34" s="45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v>0</v>
      </c>
      <c r="O34" s="46">
        <v>0</v>
      </c>
      <c r="P34" s="2"/>
      <c r="Q34" s="47"/>
      <c r="R34" s="48"/>
      <c r="S34" s="49"/>
      <c r="T34" s="50"/>
      <c r="U34" s="51"/>
      <c r="V34" s="52"/>
      <c r="W34" s="53"/>
      <c r="X34" s="54">
        <v>0</v>
      </c>
      <c r="Y34" s="54">
        <v>0</v>
      </c>
      <c r="Z34" s="55">
        <v>0</v>
      </c>
      <c r="AA34" s="3"/>
      <c r="AB34" s="117"/>
      <c r="AD34" s="117"/>
      <c r="AE34" s="117"/>
      <c r="AF34" s="117"/>
      <c r="AG34" s="117"/>
      <c r="AJ34" s="1"/>
      <c r="AK34" s="115"/>
      <c r="AL34" s="121"/>
      <c r="AM34" s="123"/>
      <c r="AN34" s="123"/>
      <c r="AQ34" s="11"/>
      <c r="AR34" s="12"/>
    </row>
    <row r="35" spans="1:44">
      <c r="A35" s="38"/>
      <c r="B35" s="39"/>
      <c r="C35" s="40"/>
      <c r="D35" s="41"/>
      <c r="E35" s="42"/>
      <c r="F35" s="43">
        <v>0</v>
      </c>
      <c r="G35" s="44">
        <v>0</v>
      </c>
      <c r="H35" s="45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v>0</v>
      </c>
      <c r="O35" s="46">
        <v>0</v>
      </c>
      <c r="P35" s="2"/>
      <c r="Q35" s="47"/>
      <c r="R35" s="48"/>
      <c r="S35" s="49"/>
      <c r="T35" s="50"/>
      <c r="U35" s="51"/>
      <c r="V35" s="52"/>
      <c r="W35" s="53"/>
      <c r="X35" s="54">
        <v>0</v>
      </c>
      <c r="Y35" s="54">
        <v>0</v>
      </c>
      <c r="Z35" s="55">
        <v>0</v>
      </c>
      <c r="AA35" s="3"/>
      <c r="AB35" s="117"/>
      <c r="AD35" s="117"/>
      <c r="AE35" s="117"/>
      <c r="AF35" s="117"/>
      <c r="AG35" s="117"/>
      <c r="AJ35" s="1"/>
      <c r="AK35" s="115"/>
      <c r="AL35" s="121"/>
      <c r="AM35" s="123"/>
      <c r="AN35" s="123"/>
      <c r="AQ35" s="11"/>
      <c r="AR35" s="12"/>
    </row>
    <row r="36" spans="1:44">
      <c r="A36" s="38"/>
      <c r="B36" s="39"/>
      <c r="C36" s="40"/>
      <c r="D36" s="41"/>
      <c r="E36" s="42"/>
      <c r="F36" s="43">
        <v>0</v>
      </c>
      <c r="G36" s="44">
        <v>0</v>
      </c>
      <c r="H36" s="45">
        <v>0</v>
      </c>
      <c r="I36" s="46">
        <v>0</v>
      </c>
      <c r="J36" s="46">
        <v>0</v>
      </c>
      <c r="K36" s="46">
        <v>0</v>
      </c>
      <c r="L36" s="46">
        <v>0</v>
      </c>
      <c r="M36" s="46">
        <v>0</v>
      </c>
      <c r="N36" s="46">
        <v>0</v>
      </c>
      <c r="O36" s="46">
        <v>0</v>
      </c>
      <c r="P36" s="2"/>
      <c r="Q36" s="47"/>
      <c r="R36" s="48"/>
      <c r="S36" s="49"/>
      <c r="T36" s="50"/>
      <c r="U36" s="51"/>
      <c r="V36" s="52"/>
      <c r="W36" s="53"/>
      <c r="X36" s="54">
        <v>0</v>
      </c>
      <c r="Y36" s="54">
        <v>0</v>
      </c>
      <c r="Z36" s="55">
        <v>0</v>
      </c>
      <c r="AA36" s="3"/>
      <c r="AB36" s="117"/>
      <c r="AD36" s="117"/>
      <c r="AE36" s="117"/>
      <c r="AF36" s="117"/>
      <c r="AG36" s="117"/>
      <c r="AJ36" s="1"/>
      <c r="AK36" s="115"/>
      <c r="AL36" s="121"/>
      <c r="AM36" s="123"/>
      <c r="AN36" s="123"/>
      <c r="AQ36" s="11"/>
      <c r="AR36" s="12"/>
    </row>
    <row r="37" spans="1:44">
      <c r="A37" s="38"/>
      <c r="B37" s="39"/>
      <c r="C37" s="118"/>
      <c r="D37" s="41"/>
      <c r="E37" s="42"/>
      <c r="F37" s="43">
        <v>0</v>
      </c>
      <c r="G37" s="44">
        <v>0</v>
      </c>
      <c r="H37" s="45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46">
        <v>0</v>
      </c>
      <c r="P37" s="2"/>
      <c r="Q37" s="98"/>
      <c r="R37" s="125"/>
      <c r="S37" s="124"/>
      <c r="T37" s="126"/>
      <c r="U37" s="97"/>
      <c r="V37" s="127"/>
      <c r="W37" s="128"/>
      <c r="X37" s="54">
        <v>0</v>
      </c>
      <c r="Y37" s="54">
        <v>0</v>
      </c>
      <c r="Z37" s="55">
        <v>0</v>
      </c>
      <c r="AA37" s="3"/>
      <c r="AB37" s="117"/>
      <c r="AD37" s="117"/>
      <c r="AE37" s="117"/>
      <c r="AF37" s="117"/>
      <c r="AG37" s="117"/>
      <c r="AJ37" s="1"/>
      <c r="AK37" s="115"/>
      <c r="AL37" s="121"/>
      <c r="AM37" s="123"/>
      <c r="AN37" s="123"/>
      <c r="AQ37" s="11"/>
      <c r="AR37" s="12"/>
    </row>
    <row r="38" spans="1:44">
      <c r="A38" s="88"/>
      <c r="B38" s="129"/>
      <c r="C38" s="107"/>
      <c r="D38" s="130"/>
      <c r="E38" s="120"/>
      <c r="F38" s="43">
        <v>0</v>
      </c>
      <c r="G38" s="44">
        <v>0</v>
      </c>
      <c r="H38" s="45">
        <v>0</v>
      </c>
      <c r="I38" s="46">
        <v>0</v>
      </c>
      <c r="J38" s="46">
        <v>0</v>
      </c>
      <c r="K38" s="46">
        <v>0</v>
      </c>
      <c r="L38" s="46">
        <v>0</v>
      </c>
      <c r="M38" s="46">
        <v>0</v>
      </c>
      <c r="N38" s="46">
        <v>0</v>
      </c>
      <c r="O38" s="46">
        <v>0</v>
      </c>
      <c r="P38" s="2"/>
      <c r="Q38" s="47"/>
      <c r="R38" s="48"/>
      <c r="S38" s="49"/>
      <c r="T38" s="50"/>
      <c r="U38" s="51"/>
      <c r="V38" s="107"/>
      <c r="W38" s="107"/>
      <c r="X38" s="54">
        <v>0</v>
      </c>
      <c r="Y38" s="54">
        <v>0</v>
      </c>
      <c r="Z38" s="55">
        <v>0</v>
      </c>
      <c r="AA38" s="3"/>
      <c r="AB38" s="117"/>
      <c r="AD38" s="117"/>
      <c r="AE38" s="117"/>
      <c r="AF38" s="117"/>
      <c r="AG38" s="117"/>
      <c r="AJ38" s="1"/>
      <c r="AK38" s="115"/>
      <c r="AL38" s="121"/>
      <c r="AM38" s="123"/>
      <c r="AN38" s="123"/>
      <c r="AQ38" s="11"/>
      <c r="AR38" s="12"/>
    </row>
    <row r="39" spans="1:44">
      <c r="A39" s="88"/>
      <c r="B39" s="129"/>
      <c r="C39" s="107"/>
      <c r="D39" s="130"/>
      <c r="E39" s="120"/>
      <c r="F39" s="43">
        <v>0</v>
      </c>
      <c r="G39" s="44">
        <v>0</v>
      </c>
      <c r="H39" s="45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2"/>
      <c r="Q39" s="47"/>
      <c r="R39" s="48"/>
      <c r="S39" s="49"/>
      <c r="T39" s="50"/>
      <c r="U39" s="51"/>
      <c r="V39" s="107"/>
      <c r="W39" s="107"/>
      <c r="X39" s="54">
        <v>0</v>
      </c>
      <c r="Y39" s="54">
        <v>0</v>
      </c>
      <c r="Z39" s="55">
        <v>0</v>
      </c>
      <c r="AA39" s="3"/>
      <c r="AB39" s="117"/>
      <c r="AD39" s="117"/>
      <c r="AE39" s="117"/>
      <c r="AF39" s="117"/>
      <c r="AG39" s="117"/>
      <c r="AJ39" s="1"/>
      <c r="AK39" s="115"/>
      <c r="AL39" s="121"/>
      <c r="AM39" s="123"/>
      <c r="AN39" s="123"/>
      <c r="AQ39" s="11"/>
      <c r="AR39" s="12"/>
    </row>
    <row r="40" spans="1:44">
      <c r="A40" s="88"/>
      <c r="B40" s="129"/>
      <c r="C40" s="107"/>
      <c r="D40" s="130"/>
      <c r="E40" s="120"/>
      <c r="F40" s="43">
        <v>0</v>
      </c>
      <c r="G40" s="44">
        <v>0</v>
      </c>
      <c r="H40" s="45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46">
        <v>0</v>
      </c>
      <c r="P40" s="2"/>
      <c r="Q40" s="47"/>
      <c r="R40" s="48"/>
      <c r="S40" s="49"/>
      <c r="T40" s="50"/>
      <c r="U40" s="51"/>
      <c r="V40" s="107"/>
      <c r="W40" s="107"/>
      <c r="X40" s="54">
        <v>0</v>
      </c>
      <c r="Y40" s="54">
        <v>0</v>
      </c>
      <c r="Z40" s="55">
        <v>0</v>
      </c>
      <c r="AA40" s="3"/>
      <c r="AB40" s="117"/>
      <c r="AD40" s="117"/>
      <c r="AE40" s="117"/>
      <c r="AF40" s="117"/>
      <c r="AG40" s="117"/>
      <c r="AJ40" s="1"/>
      <c r="AK40" s="115"/>
      <c r="AL40" s="121"/>
      <c r="AM40" s="123"/>
      <c r="AN40" s="123"/>
      <c r="AQ40" s="11"/>
      <c r="AR40" s="12"/>
    </row>
    <row r="41" spans="1:44">
      <c r="A41" s="88"/>
      <c r="B41" s="129"/>
      <c r="C41" s="107"/>
      <c r="D41" s="130"/>
      <c r="E41" s="120"/>
      <c r="F41" s="43">
        <v>0</v>
      </c>
      <c r="G41" s="44">
        <v>0</v>
      </c>
      <c r="H41" s="45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v>0</v>
      </c>
      <c r="O41" s="46">
        <v>0</v>
      </c>
      <c r="P41" s="2"/>
      <c r="Q41" s="47"/>
      <c r="R41" s="48"/>
      <c r="S41" s="49"/>
      <c r="T41" s="50"/>
      <c r="U41" s="51"/>
      <c r="V41" s="52"/>
      <c r="W41" s="53"/>
      <c r="X41" s="54">
        <v>0</v>
      </c>
      <c r="Y41" s="54">
        <v>0</v>
      </c>
      <c r="Z41" s="55">
        <v>0</v>
      </c>
      <c r="AA41" s="3"/>
      <c r="AB41" s="117"/>
      <c r="AD41" s="117"/>
      <c r="AE41" s="117"/>
      <c r="AF41" s="117"/>
      <c r="AG41" s="117"/>
      <c r="AJ41" s="1"/>
      <c r="AK41" s="115"/>
      <c r="AL41" s="121"/>
      <c r="AM41" s="123"/>
      <c r="AN41" s="123"/>
      <c r="AQ41" s="11"/>
      <c r="AR41" s="12"/>
    </row>
    <row r="42" spans="1:44">
      <c r="A42" s="88"/>
      <c r="B42" s="129"/>
      <c r="C42" s="107"/>
      <c r="D42" s="130"/>
      <c r="E42" s="120"/>
      <c r="F42" s="43">
        <v>0</v>
      </c>
      <c r="G42" s="44">
        <v>0</v>
      </c>
      <c r="H42" s="45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46">
        <v>0</v>
      </c>
      <c r="P42" s="2"/>
      <c r="Q42" s="47"/>
      <c r="R42" s="48"/>
      <c r="S42" s="49"/>
      <c r="T42" s="50"/>
      <c r="U42" s="51"/>
      <c r="V42" s="107"/>
      <c r="W42" s="107"/>
      <c r="X42" s="54">
        <v>0</v>
      </c>
      <c r="Y42" s="54">
        <v>0</v>
      </c>
      <c r="Z42" s="55">
        <v>0</v>
      </c>
      <c r="AA42" s="3"/>
      <c r="AB42" s="117"/>
      <c r="AD42" s="117"/>
      <c r="AE42" s="117"/>
      <c r="AF42" s="117"/>
      <c r="AG42" s="117"/>
      <c r="AJ42" s="1"/>
      <c r="AK42" s="115"/>
      <c r="AL42" s="121"/>
      <c r="AM42" s="123"/>
      <c r="AN42" s="123"/>
      <c r="AQ42" s="11"/>
      <c r="AR42" s="12"/>
    </row>
    <row r="43" spans="1:44">
      <c r="A43" s="88"/>
      <c r="B43" s="129"/>
      <c r="C43" s="107"/>
      <c r="D43" s="130"/>
      <c r="E43" s="120"/>
      <c r="F43" s="43">
        <v>0</v>
      </c>
      <c r="G43" s="44">
        <v>0</v>
      </c>
      <c r="H43" s="45">
        <v>0</v>
      </c>
      <c r="I43" s="46">
        <v>0</v>
      </c>
      <c r="J43" s="46">
        <v>0</v>
      </c>
      <c r="K43" s="46">
        <v>0</v>
      </c>
      <c r="L43" s="46">
        <v>0</v>
      </c>
      <c r="M43" s="46">
        <v>0</v>
      </c>
      <c r="N43" s="46">
        <v>0</v>
      </c>
      <c r="O43" s="46">
        <v>0</v>
      </c>
      <c r="P43" s="2"/>
      <c r="Q43" s="47"/>
      <c r="R43" s="48"/>
      <c r="S43" s="49"/>
      <c r="T43" s="50"/>
      <c r="U43" s="51"/>
      <c r="V43" s="107"/>
      <c r="W43" s="107"/>
      <c r="X43" s="54">
        <v>0</v>
      </c>
      <c r="Y43" s="54">
        <v>0</v>
      </c>
      <c r="Z43" s="55">
        <v>0</v>
      </c>
      <c r="AA43" s="3"/>
      <c r="AB43" s="117"/>
      <c r="AD43" s="117"/>
      <c r="AE43" s="117"/>
      <c r="AF43" s="117"/>
      <c r="AG43" s="117"/>
      <c r="AJ43" s="1"/>
      <c r="AK43" s="115"/>
      <c r="AL43" s="121"/>
      <c r="AM43" s="123"/>
      <c r="AN43" s="123"/>
      <c r="AQ43" s="11"/>
      <c r="AR43" s="12"/>
    </row>
    <row r="44" spans="1:44" ht="15" customHeight="1">
      <c r="A44" s="88"/>
      <c r="B44" s="129"/>
      <c r="C44" s="107"/>
      <c r="D44" s="130"/>
      <c r="E44" s="120"/>
      <c r="F44" s="43">
        <v>0</v>
      </c>
      <c r="G44" s="44">
        <v>0</v>
      </c>
      <c r="H44" s="45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0</v>
      </c>
      <c r="O44" s="46">
        <v>0</v>
      </c>
      <c r="P44" s="2"/>
      <c r="Q44" s="47"/>
      <c r="R44" s="48"/>
      <c r="S44" s="49"/>
      <c r="T44" s="50"/>
      <c r="U44" s="51"/>
      <c r="V44" s="107"/>
      <c r="W44" s="107"/>
      <c r="X44" s="54">
        <v>0</v>
      </c>
      <c r="Y44" s="54">
        <v>0</v>
      </c>
      <c r="Z44" s="55">
        <v>0</v>
      </c>
      <c r="AA44" s="3"/>
      <c r="AB44" s="117"/>
      <c r="AD44" s="117"/>
      <c r="AE44" s="117"/>
      <c r="AF44" s="117"/>
      <c r="AG44" s="117"/>
      <c r="AJ44" s="1"/>
      <c r="AK44" s="115"/>
      <c r="AL44" s="121"/>
      <c r="AM44" s="123"/>
      <c r="AN44" s="123"/>
      <c r="AQ44" s="11"/>
      <c r="AR44" s="12"/>
    </row>
    <row r="45" spans="1:44">
      <c r="A45" s="88"/>
      <c r="B45" s="129"/>
      <c r="C45" s="107"/>
      <c r="D45" s="130"/>
      <c r="E45" s="120"/>
      <c r="F45" s="43">
        <v>0</v>
      </c>
      <c r="G45" s="44">
        <v>0</v>
      </c>
      <c r="H45" s="45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P45" s="2"/>
      <c r="Q45" s="47"/>
      <c r="R45" s="48"/>
      <c r="S45" s="49"/>
      <c r="T45" s="50"/>
      <c r="U45" s="51"/>
      <c r="V45" s="107"/>
      <c r="W45" s="107"/>
      <c r="X45" s="54">
        <v>0</v>
      </c>
      <c r="Y45" s="54">
        <v>0</v>
      </c>
      <c r="Z45" s="55">
        <v>0</v>
      </c>
      <c r="AA45" s="3"/>
      <c r="AB45" s="117"/>
      <c r="AD45" s="117"/>
      <c r="AE45" s="117"/>
      <c r="AF45" s="117"/>
      <c r="AG45" s="117"/>
      <c r="AJ45" s="1"/>
      <c r="AK45" s="115"/>
      <c r="AL45" s="121"/>
      <c r="AM45" s="123"/>
      <c r="AN45" s="123"/>
      <c r="AQ45" s="11"/>
      <c r="AR45" s="12"/>
    </row>
    <row r="46" spans="1:44">
      <c r="A46" s="88"/>
      <c r="B46" s="129"/>
      <c r="C46" s="107"/>
      <c r="D46" s="130"/>
      <c r="E46" s="120"/>
      <c r="F46" s="43">
        <v>0</v>
      </c>
      <c r="G46" s="44">
        <v>0</v>
      </c>
      <c r="H46" s="45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v>0</v>
      </c>
      <c r="O46" s="46">
        <v>0</v>
      </c>
      <c r="P46" s="2"/>
      <c r="Q46" s="47"/>
      <c r="R46" s="48"/>
      <c r="S46" s="49"/>
      <c r="T46" s="50"/>
      <c r="U46" s="51"/>
      <c r="V46" s="107"/>
      <c r="W46" s="107"/>
      <c r="X46" s="54">
        <v>0</v>
      </c>
      <c r="Y46" s="54">
        <v>0</v>
      </c>
      <c r="Z46" s="55">
        <v>0</v>
      </c>
      <c r="AA46" s="3"/>
      <c r="AB46" s="117"/>
      <c r="AD46" s="117"/>
      <c r="AE46" s="117"/>
      <c r="AF46" s="117"/>
      <c r="AG46" s="117"/>
      <c r="AJ46" s="1"/>
      <c r="AK46" s="115"/>
      <c r="AL46" s="121"/>
      <c r="AM46" s="123"/>
      <c r="AN46" s="123"/>
      <c r="AQ46" s="11"/>
      <c r="AR46" s="12"/>
    </row>
    <row r="47" spans="1:44">
      <c r="A47" s="88"/>
      <c r="B47" s="129"/>
      <c r="C47" s="107"/>
      <c r="D47" s="130"/>
      <c r="E47" s="120"/>
      <c r="F47" s="43">
        <v>0</v>
      </c>
      <c r="G47" s="44">
        <v>0</v>
      </c>
      <c r="H47" s="45">
        <v>0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6">
        <v>0</v>
      </c>
      <c r="O47" s="46">
        <v>0</v>
      </c>
      <c r="P47" s="2"/>
      <c r="Q47" s="47"/>
      <c r="R47" s="48"/>
      <c r="S47" s="49"/>
      <c r="T47" s="50"/>
      <c r="U47" s="51"/>
      <c r="V47" s="107"/>
      <c r="W47" s="107"/>
      <c r="X47" s="54">
        <v>0</v>
      </c>
      <c r="Y47" s="54">
        <v>0</v>
      </c>
      <c r="Z47" s="55">
        <v>0</v>
      </c>
      <c r="AA47" s="3"/>
      <c r="AB47" s="117"/>
      <c r="AD47" s="117"/>
      <c r="AE47" s="117"/>
      <c r="AF47" s="117"/>
      <c r="AG47" s="117"/>
      <c r="AJ47" s="1"/>
      <c r="AK47" s="115"/>
      <c r="AL47" s="121"/>
      <c r="AM47" s="123"/>
      <c r="AN47" s="123"/>
      <c r="AQ47" s="11"/>
      <c r="AR47" s="12"/>
    </row>
    <row r="48" spans="1:44">
      <c r="A48" s="88"/>
      <c r="B48" s="129"/>
      <c r="C48" s="107"/>
      <c r="D48" s="130"/>
      <c r="E48" s="120"/>
      <c r="F48" s="43">
        <v>0</v>
      </c>
      <c r="G48" s="44">
        <v>0</v>
      </c>
      <c r="H48" s="45">
        <v>0</v>
      </c>
      <c r="I48" s="46">
        <v>0</v>
      </c>
      <c r="J48" s="46">
        <v>0</v>
      </c>
      <c r="K48" s="46">
        <v>0</v>
      </c>
      <c r="L48" s="46">
        <v>0</v>
      </c>
      <c r="M48" s="46">
        <v>0</v>
      </c>
      <c r="N48" s="46">
        <v>0</v>
      </c>
      <c r="O48" s="46">
        <v>0</v>
      </c>
      <c r="P48" s="2"/>
      <c r="Q48" s="98"/>
      <c r="R48" s="125"/>
      <c r="S48" s="124"/>
      <c r="T48" s="126"/>
      <c r="U48" s="97"/>
      <c r="V48" s="131"/>
      <c r="W48" s="131"/>
      <c r="X48" s="54">
        <v>0</v>
      </c>
      <c r="Y48" s="54">
        <v>0</v>
      </c>
      <c r="Z48" s="55">
        <v>0</v>
      </c>
      <c r="AA48" s="3"/>
      <c r="AB48" s="117"/>
      <c r="AD48" s="117"/>
      <c r="AE48" s="117"/>
      <c r="AF48" s="117"/>
      <c r="AG48" s="117"/>
      <c r="AJ48" s="1"/>
      <c r="AK48" s="115"/>
      <c r="AL48" s="121"/>
      <c r="AM48" s="123"/>
      <c r="AN48" s="123"/>
      <c r="AQ48" s="11"/>
      <c r="AR48" s="12"/>
    </row>
    <row r="49" spans="1:44">
      <c r="A49" s="88"/>
      <c r="B49" s="129"/>
      <c r="C49" s="107"/>
      <c r="D49" s="130"/>
      <c r="E49" s="120"/>
      <c r="F49" s="43">
        <v>0</v>
      </c>
      <c r="G49" s="44">
        <v>0</v>
      </c>
      <c r="H49" s="45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v>0</v>
      </c>
      <c r="O49" s="46">
        <v>0</v>
      </c>
      <c r="P49" s="2"/>
      <c r="Q49" s="47"/>
      <c r="R49" s="48"/>
      <c r="S49" s="49"/>
      <c r="T49" s="50"/>
      <c r="U49" s="51"/>
      <c r="V49" s="107"/>
      <c r="W49" s="131"/>
      <c r="X49" s="54">
        <v>0</v>
      </c>
      <c r="Y49" s="54">
        <v>0</v>
      </c>
      <c r="Z49" s="55">
        <v>0</v>
      </c>
      <c r="AA49" s="3"/>
      <c r="AB49" s="117"/>
      <c r="AD49" s="117"/>
      <c r="AE49" s="117"/>
      <c r="AF49" s="117"/>
      <c r="AG49" s="117"/>
      <c r="AJ49" s="1"/>
      <c r="AK49" s="115"/>
      <c r="AL49" s="121"/>
      <c r="AM49" s="123"/>
      <c r="AN49" s="123"/>
      <c r="AQ49" s="11"/>
      <c r="AR49" s="12"/>
    </row>
    <row r="50" spans="1:44">
      <c r="A50" s="88"/>
      <c r="B50" s="129"/>
      <c r="C50" s="107"/>
      <c r="D50" s="130"/>
      <c r="E50" s="120"/>
      <c r="F50" s="43">
        <v>0</v>
      </c>
      <c r="G50" s="44">
        <v>0</v>
      </c>
      <c r="H50" s="45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2"/>
      <c r="Q50" s="47"/>
      <c r="R50" s="48"/>
      <c r="S50" s="49"/>
      <c r="T50" s="50"/>
      <c r="U50" s="51"/>
      <c r="V50" s="107"/>
      <c r="W50" s="131"/>
      <c r="X50" s="54">
        <v>0</v>
      </c>
      <c r="Y50" s="54">
        <v>0</v>
      </c>
      <c r="Z50" s="55">
        <v>0</v>
      </c>
      <c r="AA50" s="3"/>
      <c r="AB50" s="117"/>
      <c r="AD50" s="117"/>
      <c r="AE50" s="117"/>
      <c r="AF50" s="117"/>
      <c r="AG50" s="117"/>
      <c r="AJ50" s="1"/>
      <c r="AK50" s="115"/>
      <c r="AL50" s="121"/>
      <c r="AM50" s="123"/>
      <c r="AN50" s="123"/>
      <c r="AQ50" s="11"/>
      <c r="AR50" s="12"/>
    </row>
    <row r="51" spans="1:44">
      <c r="A51" s="88"/>
      <c r="B51" s="129"/>
      <c r="C51" s="107"/>
      <c r="D51" s="130"/>
      <c r="E51" s="120"/>
      <c r="F51" s="43">
        <v>0</v>
      </c>
      <c r="G51" s="44">
        <v>0</v>
      </c>
      <c r="H51" s="45">
        <v>0</v>
      </c>
      <c r="I51" s="46">
        <v>0</v>
      </c>
      <c r="J51" s="46">
        <v>0</v>
      </c>
      <c r="K51" s="46">
        <v>0</v>
      </c>
      <c r="L51" s="46">
        <v>0</v>
      </c>
      <c r="M51" s="46">
        <v>0</v>
      </c>
      <c r="N51" s="46">
        <v>0</v>
      </c>
      <c r="O51" s="46">
        <v>0</v>
      </c>
      <c r="P51" s="2"/>
      <c r="Q51" s="47"/>
      <c r="R51" s="48"/>
      <c r="S51" s="49"/>
      <c r="T51" s="50"/>
      <c r="U51" s="51"/>
      <c r="V51" s="107"/>
      <c r="W51" s="131"/>
      <c r="X51" s="54">
        <v>0</v>
      </c>
      <c r="Y51" s="54">
        <v>0</v>
      </c>
      <c r="Z51" s="55">
        <v>0</v>
      </c>
      <c r="AA51" s="3"/>
      <c r="AB51" s="117"/>
      <c r="AD51" s="117"/>
      <c r="AE51" s="117"/>
      <c r="AF51" s="117"/>
      <c r="AG51" s="117"/>
      <c r="AJ51" s="1"/>
      <c r="AK51" s="115"/>
      <c r="AL51" s="121"/>
      <c r="AM51" s="123"/>
      <c r="AN51" s="123"/>
      <c r="AQ51" s="11"/>
      <c r="AR51" s="12"/>
    </row>
    <row r="52" spans="1:44">
      <c r="A52" s="88"/>
      <c r="B52" s="129"/>
      <c r="C52" s="107"/>
      <c r="D52" s="130"/>
      <c r="E52" s="120"/>
      <c r="F52" s="43">
        <v>0</v>
      </c>
      <c r="G52" s="44">
        <v>0</v>
      </c>
      <c r="H52" s="45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v>0</v>
      </c>
      <c r="O52" s="46">
        <v>0</v>
      </c>
      <c r="P52" s="2"/>
      <c r="Q52" s="98"/>
      <c r="R52" s="125"/>
      <c r="S52" s="124"/>
      <c r="T52" s="126"/>
      <c r="U52" s="97"/>
      <c r="V52" s="131"/>
      <c r="W52" s="131"/>
      <c r="X52" s="54">
        <v>0</v>
      </c>
      <c r="Y52" s="54">
        <v>0</v>
      </c>
      <c r="Z52" s="55">
        <v>0</v>
      </c>
      <c r="AA52" s="3"/>
      <c r="AB52" s="117"/>
      <c r="AD52" s="117"/>
      <c r="AE52" s="117"/>
      <c r="AF52" s="117"/>
      <c r="AG52" s="117"/>
      <c r="AJ52" s="1"/>
      <c r="AK52" s="115"/>
      <c r="AL52" s="121"/>
      <c r="AM52" s="123"/>
      <c r="AN52" s="123"/>
      <c r="AQ52" s="11"/>
      <c r="AR52" s="12"/>
    </row>
    <row r="53" spans="1:44">
      <c r="A53" s="88"/>
      <c r="B53" s="129"/>
      <c r="C53" s="107"/>
      <c r="D53" s="130"/>
      <c r="E53" s="120"/>
      <c r="F53" s="43">
        <v>0</v>
      </c>
      <c r="G53" s="44">
        <v>0</v>
      </c>
      <c r="H53" s="45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v>0</v>
      </c>
      <c r="O53" s="46">
        <v>0</v>
      </c>
      <c r="P53" s="2"/>
      <c r="Q53" s="47"/>
      <c r="R53" s="48"/>
      <c r="S53" s="49"/>
      <c r="T53" s="50"/>
      <c r="U53" s="51"/>
      <c r="V53" s="107"/>
      <c r="W53" s="107"/>
      <c r="X53" s="54">
        <v>0</v>
      </c>
      <c r="Y53" s="54">
        <v>0</v>
      </c>
      <c r="Z53" s="55">
        <v>0</v>
      </c>
      <c r="AA53" s="3"/>
      <c r="AB53" s="117"/>
      <c r="AD53" s="117"/>
      <c r="AE53" s="117"/>
      <c r="AF53" s="117"/>
      <c r="AG53" s="117"/>
      <c r="AJ53" s="1"/>
      <c r="AK53" s="115"/>
      <c r="AL53" s="121"/>
      <c r="AM53" s="123"/>
      <c r="AN53" s="123"/>
      <c r="AQ53" s="11"/>
      <c r="AR53" s="12"/>
    </row>
    <row r="54" spans="1:44">
      <c r="A54" s="88"/>
      <c r="B54" s="129"/>
      <c r="C54" s="107"/>
      <c r="D54" s="130"/>
      <c r="E54" s="120"/>
      <c r="F54" s="43">
        <v>0</v>
      </c>
      <c r="G54" s="44">
        <v>0</v>
      </c>
      <c r="H54" s="45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2"/>
      <c r="Q54" s="47"/>
      <c r="R54" s="48"/>
      <c r="S54" s="49"/>
      <c r="T54" s="50"/>
      <c r="U54" s="51"/>
      <c r="V54" s="107"/>
      <c r="W54" s="107"/>
      <c r="X54" s="54">
        <v>0</v>
      </c>
      <c r="Y54" s="54">
        <v>0</v>
      </c>
      <c r="Z54" s="55">
        <v>0</v>
      </c>
      <c r="AA54" s="3"/>
      <c r="AB54" s="117"/>
      <c r="AD54" s="117"/>
      <c r="AE54" s="117"/>
      <c r="AF54" s="117"/>
      <c r="AG54" s="117"/>
      <c r="AJ54" s="1"/>
      <c r="AK54" s="115"/>
      <c r="AL54" s="121"/>
      <c r="AM54" s="123"/>
      <c r="AN54" s="123"/>
      <c r="AQ54" s="11"/>
      <c r="AR54" s="12"/>
    </row>
    <row r="55" spans="1:44">
      <c r="A55" s="88"/>
      <c r="B55" s="129"/>
      <c r="C55" s="107"/>
      <c r="D55" s="130"/>
      <c r="E55" s="120"/>
      <c r="F55" s="43">
        <v>0</v>
      </c>
      <c r="G55" s="44">
        <v>0</v>
      </c>
      <c r="H55" s="45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2"/>
      <c r="Q55" s="47"/>
      <c r="R55" s="48"/>
      <c r="S55" s="49"/>
      <c r="T55" s="50"/>
      <c r="U55" s="51"/>
      <c r="V55" s="107"/>
      <c r="W55" s="107"/>
      <c r="X55" s="54">
        <v>0</v>
      </c>
      <c r="Y55" s="54">
        <v>0</v>
      </c>
      <c r="Z55" s="55">
        <v>0</v>
      </c>
      <c r="AA55" s="3"/>
      <c r="AB55" s="117"/>
      <c r="AD55" s="117"/>
      <c r="AE55" s="117"/>
      <c r="AF55" s="117"/>
      <c r="AG55" s="117"/>
      <c r="AJ55" s="1"/>
      <c r="AK55" s="115"/>
      <c r="AL55" s="121"/>
      <c r="AM55" s="123"/>
      <c r="AN55" s="123"/>
      <c r="AQ55" s="11"/>
      <c r="AR55" s="12"/>
    </row>
    <row r="56" spans="1:44">
      <c r="A56" s="88"/>
      <c r="B56" s="129"/>
      <c r="C56" s="107"/>
      <c r="D56" s="130"/>
      <c r="E56" s="120"/>
      <c r="F56" s="43">
        <v>0</v>
      </c>
      <c r="G56" s="44">
        <v>0</v>
      </c>
      <c r="H56" s="45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v>0</v>
      </c>
      <c r="O56" s="46">
        <v>0</v>
      </c>
      <c r="P56" s="2"/>
      <c r="Q56" s="47"/>
      <c r="R56" s="48"/>
      <c r="S56" s="49"/>
      <c r="T56" s="50"/>
      <c r="U56" s="51"/>
      <c r="V56" s="107"/>
      <c r="W56" s="107"/>
      <c r="X56" s="54">
        <v>0</v>
      </c>
      <c r="Y56" s="54">
        <v>0</v>
      </c>
      <c r="Z56" s="55">
        <v>0</v>
      </c>
      <c r="AA56" s="3"/>
      <c r="AB56" s="117"/>
      <c r="AD56" s="117"/>
      <c r="AE56" s="117"/>
      <c r="AF56" s="117"/>
      <c r="AG56" s="117"/>
      <c r="AJ56" s="1"/>
      <c r="AK56" s="115"/>
      <c r="AL56" s="121"/>
      <c r="AM56" s="123"/>
      <c r="AN56" s="123"/>
      <c r="AQ56" s="11"/>
      <c r="AR56" s="12"/>
    </row>
    <row r="57" spans="1:44">
      <c r="A57" s="88"/>
      <c r="B57" s="129"/>
      <c r="C57" s="107"/>
      <c r="D57" s="130"/>
      <c r="E57" s="120"/>
      <c r="F57" s="43">
        <v>0</v>
      </c>
      <c r="G57" s="44">
        <v>0</v>
      </c>
      <c r="H57" s="45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2"/>
      <c r="Q57" s="47"/>
      <c r="R57" s="48"/>
      <c r="S57" s="49"/>
      <c r="T57" s="50"/>
      <c r="U57" s="51"/>
      <c r="V57" s="107"/>
      <c r="W57" s="107"/>
      <c r="X57" s="54">
        <v>0</v>
      </c>
      <c r="Y57" s="54">
        <v>0</v>
      </c>
      <c r="Z57" s="55">
        <v>0</v>
      </c>
      <c r="AA57" s="3"/>
      <c r="AB57" s="117"/>
      <c r="AD57" s="117"/>
      <c r="AE57" s="117"/>
      <c r="AF57" s="117"/>
      <c r="AG57" s="117"/>
      <c r="AJ57" s="1"/>
      <c r="AK57" s="115"/>
      <c r="AL57" s="121"/>
      <c r="AM57" s="123"/>
      <c r="AN57" s="123"/>
      <c r="AQ57" s="11"/>
      <c r="AR57" s="12"/>
    </row>
    <row r="58" spans="1:44">
      <c r="A58" s="88"/>
      <c r="B58" s="129"/>
      <c r="C58" s="107"/>
      <c r="D58" s="130"/>
      <c r="E58" s="120"/>
      <c r="F58" s="43">
        <v>0</v>
      </c>
      <c r="G58" s="44">
        <v>0</v>
      </c>
      <c r="H58" s="45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v>0</v>
      </c>
      <c r="O58" s="46">
        <v>0</v>
      </c>
      <c r="P58" s="2"/>
      <c r="Q58" s="47"/>
      <c r="R58" s="48"/>
      <c r="S58" s="49"/>
      <c r="T58" s="50"/>
      <c r="U58" s="51"/>
      <c r="V58" s="107"/>
      <c r="W58" s="107"/>
      <c r="X58" s="54">
        <v>0</v>
      </c>
      <c r="Y58" s="54">
        <v>0</v>
      </c>
      <c r="Z58" s="55">
        <v>0</v>
      </c>
      <c r="AA58" s="3"/>
      <c r="AB58" s="117"/>
      <c r="AD58" s="117"/>
      <c r="AE58" s="117"/>
      <c r="AF58" s="117"/>
      <c r="AG58" s="117"/>
      <c r="AJ58" s="1"/>
      <c r="AK58" s="115"/>
      <c r="AL58" s="121"/>
      <c r="AM58" s="123"/>
      <c r="AN58" s="123"/>
      <c r="AQ58" s="11"/>
      <c r="AR58" s="12"/>
    </row>
    <row r="59" spans="1:44">
      <c r="A59" s="88"/>
      <c r="B59" s="129"/>
      <c r="C59" s="107"/>
      <c r="D59" s="130"/>
      <c r="E59" s="120"/>
      <c r="F59" s="43">
        <v>0</v>
      </c>
      <c r="G59" s="44">
        <v>0</v>
      </c>
      <c r="H59" s="45">
        <v>0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v>0</v>
      </c>
      <c r="O59" s="46">
        <v>0</v>
      </c>
      <c r="P59" s="2"/>
      <c r="Q59" s="47"/>
      <c r="R59" s="48"/>
      <c r="S59" s="49"/>
      <c r="T59" s="50"/>
      <c r="U59" s="51"/>
      <c r="V59" s="107"/>
      <c r="W59" s="107"/>
      <c r="X59" s="54">
        <v>0</v>
      </c>
      <c r="Y59" s="54">
        <v>0</v>
      </c>
      <c r="Z59" s="55">
        <v>0</v>
      </c>
      <c r="AA59" s="3"/>
      <c r="AB59" s="117"/>
      <c r="AD59" s="117"/>
      <c r="AE59" s="117"/>
      <c r="AF59" s="117"/>
      <c r="AG59" s="117"/>
      <c r="AJ59" s="1"/>
      <c r="AK59" s="115"/>
      <c r="AL59" s="121"/>
      <c r="AM59" s="123"/>
      <c r="AN59" s="123"/>
      <c r="AQ59" s="11"/>
      <c r="AR59" s="12"/>
    </row>
    <row r="60" spans="1:44">
      <c r="A60" s="88"/>
      <c r="B60" s="129"/>
      <c r="C60" s="107"/>
      <c r="D60" s="130"/>
      <c r="E60" s="120"/>
      <c r="F60" s="43">
        <v>0</v>
      </c>
      <c r="G60" s="44">
        <v>0</v>
      </c>
      <c r="H60" s="45">
        <v>0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46">
        <v>0</v>
      </c>
      <c r="O60" s="46">
        <v>0</v>
      </c>
      <c r="P60" s="2"/>
      <c r="Q60" s="47"/>
      <c r="R60" s="48"/>
      <c r="S60" s="49"/>
      <c r="T60" s="50"/>
      <c r="U60" s="51"/>
      <c r="V60" s="107"/>
      <c r="W60" s="107"/>
      <c r="X60" s="54">
        <v>0</v>
      </c>
      <c r="Y60" s="54">
        <v>0</v>
      </c>
      <c r="Z60" s="55">
        <v>0</v>
      </c>
      <c r="AA60" s="3"/>
      <c r="AB60" s="117"/>
      <c r="AD60" s="117"/>
      <c r="AE60" s="117"/>
      <c r="AF60" s="117"/>
      <c r="AG60" s="117"/>
      <c r="AJ60" s="1"/>
      <c r="AK60" s="115"/>
      <c r="AL60" s="121"/>
      <c r="AM60" s="123"/>
      <c r="AN60" s="123"/>
      <c r="AQ60" s="11"/>
      <c r="AR60" s="12"/>
    </row>
    <row r="61" spans="1:44">
      <c r="A61" s="88"/>
      <c r="B61" s="129"/>
      <c r="C61" s="107"/>
      <c r="D61" s="130"/>
      <c r="E61" s="120"/>
      <c r="F61" s="43">
        <v>0</v>
      </c>
      <c r="G61" s="44">
        <v>0</v>
      </c>
      <c r="H61" s="45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v>0</v>
      </c>
      <c r="O61" s="46">
        <v>0</v>
      </c>
      <c r="P61" s="2"/>
      <c r="Q61" s="47"/>
      <c r="R61" s="48"/>
      <c r="S61" s="49"/>
      <c r="T61" s="50"/>
      <c r="U61" s="51"/>
      <c r="V61" s="107"/>
      <c r="W61" s="107"/>
      <c r="X61" s="54">
        <v>0</v>
      </c>
      <c r="Y61" s="54">
        <v>0</v>
      </c>
      <c r="Z61" s="55">
        <v>0</v>
      </c>
      <c r="AA61" s="3"/>
      <c r="AB61" s="117"/>
      <c r="AD61" s="117"/>
      <c r="AE61" s="117"/>
      <c r="AF61" s="117"/>
      <c r="AG61" s="117"/>
      <c r="AJ61" s="1"/>
      <c r="AK61" s="115"/>
      <c r="AL61" s="121"/>
      <c r="AM61" s="123"/>
      <c r="AN61" s="123"/>
      <c r="AQ61" s="11"/>
      <c r="AR61" s="12"/>
    </row>
    <row r="62" spans="1:44">
      <c r="A62" s="88"/>
      <c r="B62" s="129"/>
      <c r="C62" s="107"/>
      <c r="D62" s="130"/>
      <c r="E62" s="120"/>
      <c r="F62" s="43">
        <v>0</v>
      </c>
      <c r="G62" s="44">
        <v>0</v>
      </c>
      <c r="H62" s="45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v>0</v>
      </c>
      <c r="O62" s="46">
        <v>0</v>
      </c>
      <c r="P62" s="2"/>
      <c r="Q62" s="47"/>
      <c r="R62" s="48"/>
      <c r="S62" s="49"/>
      <c r="T62" s="50"/>
      <c r="U62" s="51"/>
      <c r="V62" s="107"/>
      <c r="W62" s="107"/>
      <c r="X62" s="54">
        <v>0</v>
      </c>
      <c r="Y62" s="54">
        <v>0</v>
      </c>
      <c r="Z62" s="55">
        <v>0</v>
      </c>
      <c r="AA62" s="3"/>
      <c r="AB62" s="117"/>
      <c r="AD62" s="117"/>
      <c r="AE62" s="117"/>
      <c r="AF62" s="117"/>
      <c r="AG62" s="117"/>
      <c r="AJ62" s="1"/>
      <c r="AK62" s="115"/>
      <c r="AL62" s="121"/>
      <c r="AM62" s="123"/>
      <c r="AN62" s="123"/>
      <c r="AQ62" s="11"/>
      <c r="AR62" s="12"/>
    </row>
    <row r="63" spans="1:44">
      <c r="A63" s="88"/>
      <c r="B63" s="129"/>
      <c r="C63" s="107"/>
      <c r="D63" s="130"/>
      <c r="E63" s="120"/>
      <c r="F63" s="43">
        <v>0</v>
      </c>
      <c r="G63" s="44">
        <v>0</v>
      </c>
      <c r="H63" s="45">
        <v>0</v>
      </c>
      <c r="I63" s="46">
        <v>0</v>
      </c>
      <c r="J63" s="46">
        <v>0</v>
      </c>
      <c r="K63" s="46">
        <v>0</v>
      </c>
      <c r="L63" s="46">
        <v>0</v>
      </c>
      <c r="M63" s="46">
        <v>0</v>
      </c>
      <c r="N63" s="46">
        <v>0</v>
      </c>
      <c r="O63" s="46">
        <v>0</v>
      </c>
      <c r="P63" s="2"/>
      <c r="Q63" s="98"/>
      <c r="R63" s="125"/>
      <c r="S63" s="124"/>
      <c r="T63" s="126"/>
      <c r="U63" s="97"/>
      <c r="V63" s="131"/>
      <c r="W63" s="131"/>
      <c r="X63" s="54">
        <v>0</v>
      </c>
      <c r="Y63" s="54">
        <v>0</v>
      </c>
      <c r="Z63" s="55">
        <v>0</v>
      </c>
      <c r="AA63" s="3"/>
      <c r="AB63" s="117"/>
      <c r="AD63" s="117"/>
      <c r="AE63" s="117"/>
      <c r="AF63" s="117"/>
      <c r="AG63" s="117"/>
      <c r="AJ63" s="1"/>
      <c r="AK63" s="115"/>
      <c r="AL63" s="121"/>
      <c r="AM63" s="123"/>
      <c r="AN63" s="123"/>
      <c r="AQ63" s="11"/>
      <c r="AR63" s="12"/>
    </row>
    <row r="64" spans="1:44">
      <c r="A64" s="88"/>
      <c r="B64" s="129"/>
      <c r="C64" s="107"/>
      <c r="D64" s="130"/>
      <c r="E64" s="120"/>
      <c r="F64" s="43">
        <v>0</v>
      </c>
      <c r="G64" s="44">
        <v>0</v>
      </c>
      <c r="H64" s="45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v>0</v>
      </c>
      <c r="O64" s="46">
        <v>0</v>
      </c>
      <c r="P64" s="2"/>
      <c r="Q64" s="98"/>
      <c r="R64" s="125"/>
      <c r="S64" s="124"/>
      <c r="T64" s="126"/>
      <c r="U64" s="97"/>
      <c r="V64" s="131"/>
      <c r="W64" s="131"/>
      <c r="X64" s="54">
        <v>0</v>
      </c>
      <c r="Y64" s="54">
        <v>0</v>
      </c>
      <c r="Z64" s="55">
        <v>0</v>
      </c>
      <c r="AA64" s="3"/>
      <c r="AB64" s="117"/>
      <c r="AD64" s="117"/>
      <c r="AE64" s="117"/>
      <c r="AF64" s="117"/>
      <c r="AG64" s="117"/>
      <c r="AJ64" s="1"/>
      <c r="AK64" s="115"/>
      <c r="AL64" s="121"/>
      <c r="AM64" s="123"/>
      <c r="AN64" s="123"/>
      <c r="AQ64" s="11"/>
      <c r="AR64" s="12"/>
    </row>
    <row r="65" spans="1:44">
      <c r="A65" s="88"/>
      <c r="B65" s="129"/>
      <c r="C65" s="107"/>
      <c r="D65" s="130"/>
      <c r="E65" s="120"/>
      <c r="F65" s="43">
        <v>0</v>
      </c>
      <c r="G65" s="44">
        <v>0</v>
      </c>
      <c r="H65" s="45">
        <v>0</v>
      </c>
      <c r="I65" s="46">
        <v>0</v>
      </c>
      <c r="J65" s="46">
        <v>0</v>
      </c>
      <c r="K65" s="46">
        <v>0</v>
      </c>
      <c r="L65" s="46">
        <v>0</v>
      </c>
      <c r="M65" s="46">
        <v>0</v>
      </c>
      <c r="N65" s="46">
        <v>0</v>
      </c>
      <c r="O65" s="46">
        <v>0</v>
      </c>
      <c r="P65" s="2"/>
      <c r="Q65" s="98"/>
      <c r="R65" s="125"/>
      <c r="S65" s="124"/>
      <c r="T65" s="126"/>
      <c r="U65" s="97"/>
      <c r="V65" s="131"/>
      <c r="W65" s="131"/>
      <c r="X65" s="54">
        <v>0</v>
      </c>
      <c r="Y65" s="54">
        <v>0</v>
      </c>
      <c r="Z65" s="55">
        <v>0</v>
      </c>
      <c r="AA65" s="3"/>
      <c r="AB65" s="117"/>
      <c r="AD65" s="117"/>
      <c r="AE65" s="117"/>
      <c r="AF65" s="117"/>
      <c r="AG65" s="117"/>
      <c r="AJ65" s="1"/>
      <c r="AK65" s="115"/>
      <c r="AL65" s="121"/>
      <c r="AM65" s="123"/>
      <c r="AN65" s="123"/>
      <c r="AQ65" s="11"/>
      <c r="AR65" s="12"/>
    </row>
    <row r="66" spans="1:44">
      <c r="A66" s="88"/>
      <c r="B66" s="129"/>
      <c r="C66" s="107"/>
      <c r="D66" s="130"/>
      <c r="E66" s="120"/>
      <c r="F66" s="43">
        <v>0</v>
      </c>
      <c r="G66" s="44">
        <v>0</v>
      </c>
      <c r="H66" s="45">
        <v>0</v>
      </c>
      <c r="I66" s="46">
        <v>0</v>
      </c>
      <c r="J66" s="46">
        <v>0</v>
      </c>
      <c r="K66" s="46">
        <v>0</v>
      </c>
      <c r="L66" s="46">
        <v>0</v>
      </c>
      <c r="M66" s="46">
        <v>0</v>
      </c>
      <c r="N66" s="46">
        <v>0</v>
      </c>
      <c r="O66" s="46">
        <v>0</v>
      </c>
      <c r="P66" s="2"/>
      <c r="Q66" s="47"/>
      <c r="R66" s="48"/>
      <c r="S66" s="49"/>
      <c r="T66" s="50"/>
      <c r="U66" s="51"/>
      <c r="V66" s="107"/>
      <c r="W66" s="107"/>
      <c r="X66" s="54">
        <v>0</v>
      </c>
      <c r="Y66" s="54">
        <v>0</v>
      </c>
      <c r="Z66" s="55">
        <v>0</v>
      </c>
      <c r="AA66" s="3"/>
      <c r="AB66" s="117"/>
      <c r="AD66" s="117"/>
      <c r="AE66" s="117"/>
      <c r="AF66" s="117"/>
      <c r="AG66" s="117"/>
      <c r="AJ66" s="1"/>
      <c r="AK66" s="115"/>
      <c r="AL66" s="121"/>
      <c r="AM66" s="123"/>
      <c r="AN66" s="123"/>
      <c r="AQ66" s="11"/>
      <c r="AR66" s="12"/>
    </row>
    <row r="67" spans="1:44">
      <c r="A67" s="88"/>
      <c r="B67" s="129"/>
      <c r="C67" s="107"/>
      <c r="D67" s="130"/>
      <c r="E67" s="120"/>
      <c r="F67" s="43">
        <v>0</v>
      </c>
      <c r="G67" s="44">
        <v>0</v>
      </c>
      <c r="H67" s="45">
        <v>0</v>
      </c>
      <c r="I67" s="46">
        <v>0</v>
      </c>
      <c r="J67" s="46">
        <v>0</v>
      </c>
      <c r="K67" s="46">
        <v>0</v>
      </c>
      <c r="L67" s="46">
        <v>0</v>
      </c>
      <c r="M67" s="46">
        <v>0</v>
      </c>
      <c r="N67" s="46">
        <v>0</v>
      </c>
      <c r="O67" s="46">
        <v>0</v>
      </c>
      <c r="P67" s="2"/>
      <c r="Q67" s="47"/>
      <c r="R67" s="48"/>
      <c r="S67" s="49"/>
      <c r="T67" s="50"/>
      <c r="U67" s="51"/>
      <c r="V67" s="107"/>
      <c r="W67" s="107"/>
      <c r="X67" s="54">
        <v>0</v>
      </c>
      <c r="Y67" s="54">
        <v>0</v>
      </c>
      <c r="Z67" s="55">
        <v>0</v>
      </c>
      <c r="AA67" s="3"/>
      <c r="AB67" s="117"/>
      <c r="AD67" s="117"/>
      <c r="AE67" s="117"/>
      <c r="AF67" s="117"/>
      <c r="AG67" s="117"/>
      <c r="AJ67" s="1"/>
      <c r="AK67" s="115"/>
      <c r="AL67" s="121"/>
      <c r="AM67" s="123"/>
      <c r="AN67" s="123"/>
      <c r="AQ67" s="11"/>
      <c r="AR67" s="12"/>
    </row>
    <row r="68" spans="1:44">
      <c r="A68" s="88"/>
      <c r="B68" s="129"/>
      <c r="C68" s="107"/>
      <c r="D68" s="130"/>
      <c r="E68" s="120"/>
      <c r="F68" s="43">
        <v>0</v>
      </c>
      <c r="G68" s="44">
        <v>0</v>
      </c>
      <c r="H68" s="45">
        <v>0</v>
      </c>
      <c r="I68" s="46">
        <v>0</v>
      </c>
      <c r="J68" s="46">
        <v>0</v>
      </c>
      <c r="K68" s="46">
        <v>0</v>
      </c>
      <c r="L68" s="46">
        <v>0</v>
      </c>
      <c r="M68" s="46">
        <v>0</v>
      </c>
      <c r="N68" s="46">
        <v>0</v>
      </c>
      <c r="O68" s="46">
        <v>0</v>
      </c>
      <c r="P68" s="2"/>
      <c r="Q68" s="47"/>
      <c r="R68" s="48"/>
      <c r="S68" s="49"/>
      <c r="T68" s="50"/>
      <c r="U68" s="51"/>
      <c r="V68" s="107"/>
      <c r="W68" s="107"/>
      <c r="X68" s="54">
        <v>0</v>
      </c>
      <c r="Y68" s="54">
        <v>0</v>
      </c>
      <c r="Z68" s="55">
        <v>0</v>
      </c>
      <c r="AA68" s="3"/>
      <c r="AB68" s="117"/>
      <c r="AD68" s="117"/>
      <c r="AE68" s="117"/>
      <c r="AF68" s="117"/>
      <c r="AG68" s="117"/>
      <c r="AJ68" s="1"/>
      <c r="AK68" s="115"/>
      <c r="AL68" s="121"/>
      <c r="AM68" s="123"/>
      <c r="AN68" s="123"/>
      <c r="AQ68" s="11"/>
      <c r="AR68" s="12"/>
    </row>
    <row r="69" spans="1:44">
      <c r="A69" s="88"/>
      <c r="B69" s="129"/>
      <c r="C69" s="107"/>
      <c r="D69" s="130"/>
      <c r="E69" s="120"/>
      <c r="F69" s="43">
        <v>0</v>
      </c>
      <c r="G69" s="44">
        <v>0</v>
      </c>
      <c r="H69" s="45">
        <v>0</v>
      </c>
      <c r="I69" s="46">
        <v>0</v>
      </c>
      <c r="J69" s="46">
        <v>0</v>
      </c>
      <c r="K69" s="46">
        <v>0</v>
      </c>
      <c r="L69" s="46">
        <v>0</v>
      </c>
      <c r="M69" s="46">
        <v>0</v>
      </c>
      <c r="N69" s="46">
        <v>0</v>
      </c>
      <c r="O69" s="46">
        <v>0</v>
      </c>
      <c r="P69" s="2"/>
      <c r="Q69" s="67"/>
      <c r="R69" s="68"/>
      <c r="S69" s="69"/>
      <c r="T69" s="70"/>
      <c r="U69" s="71"/>
      <c r="V69" s="52"/>
      <c r="W69" s="52"/>
      <c r="X69" s="54">
        <v>0</v>
      </c>
      <c r="Y69" s="54">
        <v>0</v>
      </c>
      <c r="Z69" s="55">
        <v>0</v>
      </c>
      <c r="AA69" s="3"/>
      <c r="AB69" s="117"/>
      <c r="AD69" s="117"/>
      <c r="AE69" s="117"/>
      <c r="AF69" s="117"/>
      <c r="AG69" s="117"/>
      <c r="AJ69" s="1"/>
      <c r="AK69" s="115"/>
      <c r="AL69" s="121"/>
      <c r="AM69" s="123"/>
      <c r="AN69" s="123"/>
      <c r="AQ69" s="11"/>
      <c r="AR69" s="12"/>
    </row>
    <row r="70" spans="1:44">
      <c r="A70" s="88"/>
      <c r="B70" s="129"/>
      <c r="C70" s="107"/>
      <c r="D70" s="130"/>
      <c r="E70" s="120"/>
      <c r="F70" s="43">
        <v>0</v>
      </c>
      <c r="G70" s="44">
        <v>0</v>
      </c>
      <c r="H70" s="45">
        <v>0</v>
      </c>
      <c r="I70" s="46">
        <v>0</v>
      </c>
      <c r="J70" s="46">
        <v>0</v>
      </c>
      <c r="K70" s="46">
        <v>0</v>
      </c>
      <c r="L70" s="46">
        <v>0</v>
      </c>
      <c r="M70" s="46">
        <v>0</v>
      </c>
      <c r="N70" s="46">
        <v>0</v>
      </c>
      <c r="O70" s="46">
        <v>0</v>
      </c>
      <c r="P70" s="2"/>
      <c r="Q70" s="47"/>
      <c r="R70" s="48"/>
      <c r="S70" s="49"/>
      <c r="T70" s="50"/>
      <c r="U70" s="51"/>
      <c r="V70" s="107"/>
      <c r="W70" s="107"/>
      <c r="X70" s="54">
        <v>0</v>
      </c>
      <c r="Y70" s="54">
        <v>0</v>
      </c>
      <c r="Z70" s="55">
        <v>0</v>
      </c>
      <c r="AA70" s="3"/>
      <c r="AB70" s="117"/>
      <c r="AD70" s="117"/>
      <c r="AE70" s="117"/>
      <c r="AF70" s="117"/>
      <c r="AG70" s="117"/>
      <c r="AJ70" s="1"/>
      <c r="AK70" s="115"/>
      <c r="AL70" s="121"/>
      <c r="AM70" s="123"/>
      <c r="AN70" s="123"/>
      <c r="AQ70" s="11"/>
      <c r="AR70" s="12"/>
    </row>
    <row r="71" spans="1:44">
      <c r="A71" s="88"/>
      <c r="B71" s="129"/>
      <c r="C71" s="107"/>
      <c r="D71" s="130"/>
      <c r="E71" s="120"/>
      <c r="F71" s="43">
        <v>0</v>
      </c>
      <c r="G71" s="44">
        <v>0</v>
      </c>
      <c r="H71" s="45">
        <v>0</v>
      </c>
      <c r="I71" s="46">
        <v>0</v>
      </c>
      <c r="J71" s="46">
        <v>0</v>
      </c>
      <c r="K71" s="46">
        <v>0</v>
      </c>
      <c r="L71" s="46">
        <v>0</v>
      </c>
      <c r="M71" s="46">
        <v>0</v>
      </c>
      <c r="N71" s="46">
        <v>0</v>
      </c>
      <c r="O71" s="46">
        <v>0</v>
      </c>
      <c r="P71" s="2"/>
      <c r="Q71" s="47"/>
      <c r="R71" s="48"/>
      <c r="S71" s="49"/>
      <c r="T71" s="50"/>
      <c r="U71" s="51"/>
      <c r="V71" s="107"/>
      <c r="W71" s="107"/>
      <c r="X71" s="54">
        <v>0</v>
      </c>
      <c r="Y71" s="54">
        <v>0</v>
      </c>
      <c r="Z71" s="55">
        <v>0</v>
      </c>
      <c r="AA71" s="3"/>
      <c r="AB71" s="117"/>
      <c r="AD71" s="117"/>
      <c r="AE71" s="117"/>
      <c r="AF71" s="117"/>
      <c r="AG71" s="117"/>
      <c r="AJ71" s="1"/>
      <c r="AK71" s="115"/>
      <c r="AL71" s="121"/>
      <c r="AM71" s="123"/>
      <c r="AN71" s="123"/>
      <c r="AQ71" s="11"/>
      <c r="AR71" s="12"/>
    </row>
    <row r="72" spans="1:44">
      <c r="A72" s="88"/>
      <c r="B72" s="129"/>
      <c r="C72" s="107"/>
      <c r="D72" s="130"/>
      <c r="E72" s="120"/>
      <c r="F72" s="43">
        <v>0</v>
      </c>
      <c r="G72" s="44">
        <v>0</v>
      </c>
      <c r="H72" s="45">
        <v>0</v>
      </c>
      <c r="I72" s="46">
        <v>0</v>
      </c>
      <c r="J72" s="46">
        <v>0</v>
      </c>
      <c r="K72" s="46">
        <v>0</v>
      </c>
      <c r="L72" s="46">
        <v>0</v>
      </c>
      <c r="M72" s="46">
        <v>0</v>
      </c>
      <c r="N72" s="46">
        <v>0</v>
      </c>
      <c r="O72" s="46">
        <v>0</v>
      </c>
      <c r="P72" s="2"/>
      <c r="Q72" s="47"/>
      <c r="R72" s="48"/>
      <c r="S72" s="49"/>
      <c r="T72" s="50"/>
      <c r="U72" s="51"/>
      <c r="V72" s="107"/>
      <c r="W72" s="107"/>
      <c r="X72" s="54">
        <v>0</v>
      </c>
      <c r="Y72" s="54">
        <v>0</v>
      </c>
      <c r="Z72" s="55">
        <v>0</v>
      </c>
      <c r="AA72" s="3"/>
      <c r="AB72" s="117"/>
      <c r="AD72" s="117"/>
      <c r="AE72" s="117"/>
      <c r="AF72" s="117"/>
      <c r="AG72" s="117"/>
      <c r="AJ72" s="1"/>
      <c r="AK72" s="115"/>
      <c r="AL72" s="121"/>
      <c r="AM72" s="123"/>
      <c r="AN72" s="123"/>
      <c r="AQ72" s="11"/>
      <c r="AR72" s="12"/>
    </row>
    <row r="73" spans="1:44">
      <c r="A73" s="88"/>
      <c r="B73" s="129"/>
      <c r="C73" s="107"/>
      <c r="D73" s="130"/>
      <c r="E73" s="120"/>
      <c r="F73" s="43">
        <v>0</v>
      </c>
      <c r="G73" s="44">
        <v>0</v>
      </c>
      <c r="H73" s="45">
        <v>0</v>
      </c>
      <c r="I73" s="46">
        <v>0</v>
      </c>
      <c r="J73" s="46">
        <v>0</v>
      </c>
      <c r="K73" s="46">
        <v>0</v>
      </c>
      <c r="L73" s="46">
        <v>0</v>
      </c>
      <c r="M73" s="46">
        <v>0</v>
      </c>
      <c r="N73" s="46">
        <v>0</v>
      </c>
      <c r="O73" s="46">
        <v>0</v>
      </c>
      <c r="P73" s="2"/>
      <c r="Q73" s="47"/>
      <c r="R73" s="48"/>
      <c r="S73" s="49"/>
      <c r="T73" s="50"/>
      <c r="U73" s="51"/>
      <c r="V73" s="107"/>
      <c r="W73" s="107"/>
      <c r="X73" s="54">
        <v>0</v>
      </c>
      <c r="Y73" s="54">
        <v>0</v>
      </c>
      <c r="Z73" s="55">
        <v>0</v>
      </c>
      <c r="AA73" s="3"/>
      <c r="AB73" s="117"/>
      <c r="AD73" s="117"/>
      <c r="AE73" s="117"/>
      <c r="AF73" s="117"/>
      <c r="AG73" s="117"/>
      <c r="AJ73" s="1"/>
      <c r="AK73" s="115"/>
      <c r="AL73" s="121"/>
      <c r="AM73" s="123"/>
      <c r="AN73" s="123"/>
      <c r="AQ73" s="11"/>
      <c r="AR73" s="12"/>
    </row>
    <row r="74" spans="1:44">
      <c r="A74" s="88"/>
      <c r="B74" s="129"/>
      <c r="C74" s="107"/>
      <c r="D74" s="130"/>
      <c r="E74" s="120"/>
      <c r="F74" s="43">
        <v>0</v>
      </c>
      <c r="G74" s="44">
        <v>0</v>
      </c>
      <c r="H74" s="45">
        <v>0</v>
      </c>
      <c r="I74" s="46">
        <v>0</v>
      </c>
      <c r="J74" s="46">
        <v>0</v>
      </c>
      <c r="K74" s="46">
        <v>0</v>
      </c>
      <c r="L74" s="46">
        <v>0</v>
      </c>
      <c r="M74" s="46">
        <v>0</v>
      </c>
      <c r="N74" s="46">
        <v>0</v>
      </c>
      <c r="O74" s="46">
        <v>0</v>
      </c>
      <c r="P74" s="2"/>
      <c r="Q74" s="47"/>
      <c r="R74" s="48"/>
      <c r="S74" s="49"/>
      <c r="T74" s="50"/>
      <c r="U74" s="51"/>
      <c r="V74" s="107"/>
      <c r="W74" s="107"/>
      <c r="X74" s="54">
        <v>0</v>
      </c>
      <c r="Y74" s="54">
        <v>0</v>
      </c>
      <c r="Z74" s="55">
        <v>0</v>
      </c>
      <c r="AA74" s="3"/>
      <c r="AB74" s="117"/>
      <c r="AD74" s="117"/>
      <c r="AE74" s="117"/>
      <c r="AF74" s="117"/>
      <c r="AG74" s="117"/>
      <c r="AJ74" s="1"/>
      <c r="AK74" s="115"/>
      <c r="AL74" s="121"/>
      <c r="AM74" s="123"/>
      <c r="AN74" s="123"/>
      <c r="AQ74" s="11"/>
      <c r="AR74" s="12"/>
    </row>
    <row r="75" spans="1:44">
      <c r="A75" s="88"/>
      <c r="B75" s="129"/>
      <c r="C75" s="107"/>
      <c r="D75" s="130"/>
      <c r="E75" s="120"/>
      <c r="F75" s="43">
        <v>0</v>
      </c>
      <c r="G75" s="44">
        <v>0</v>
      </c>
      <c r="H75" s="45">
        <v>0</v>
      </c>
      <c r="I75" s="46">
        <v>0</v>
      </c>
      <c r="J75" s="46">
        <v>0</v>
      </c>
      <c r="K75" s="46">
        <v>0</v>
      </c>
      <c r="L75" s="46">
        <v>0</v>
      </c>
      <c r="M75" s="46">
        <v>0</v>
      </c>
      <c r="N75" s="46">
        <v>0</v>
      </c>
      <c r="O75" s="46">
        <v>0</v>
      </c>
      <c r="P75" s="2"/>
      <c r="Q75" s="47"/>
      <c r="R75" s="48"/>
      <c r="S75" s="49"/>
      <c r="T75" s="50"/>
      <c r="U75" s="51"/>
      <c r="V75" s="107"/>
      <c r="W75" s="107"/>
      <c r="X75" s="54">
        <v>0</v>
      </c>
      <c r="Y75" s="54">
        <v>0</v>
      </c>
      <c r="Z75" s="55">
        <v>0</v>
      </c>
      <c r="AA75" s="3"/>
      <c r="AB75" s="117"/>
      <c r="AD75" s="117"/>
      <c r="AE75" s="117"/>
      <c r="AF75" s="117"/>
      <c r="AG75" s="117"/>
      <c r="AJ75" s="1"/>
      <c r="AK75" s="115"/>
      <c r="AL75" s="121"/>
      <c r="AM75" s="123"/>
      <c r="AN75" s="123"/>
      <c r="AQ75" s="11"/>
      <c r="AR75" s="12"/>
    </row>
    <row r="76" spans="1:44">
      <c r="A76" s="88"/>
      <c r="B76" s="129"/>
      <c r="C76" s="107"/>
      <c r="D76" s="130"/>
      <c r="E76" s="120"/>
      <c r="F76" s="43">
        <v>0</v>
      </c>
      <c r="G76" s="44">
        <v>0</v>
      </c>
      <c r="H76" s="45">
        <v>0</v>
      </c>
      <c r="I76" s="46">
        <v>0</v>
      </c>
      <c r="J76" s="46">
        <v>0</v>
      </c>
      <c r="K76" s="46">
        <v>0</v>
      </c>
      <c r="L76" s="46">
        <v>0</v>
      </c>
      <c r="M76" s="46">
        <v>0</v>
      </c>
      <c r="N76" s="46">
        <v>0</v>
      </c>
      <c r="O76" s="46">
        <v>0</v>
      </c>
      <c r="P76" s="2"/>
      <c r="Q76" s="47"/>
      <c r="R76" s="48"/>
      <c r="S76" s="49"/>
      <c r="T76" s="50"/>
      <c r="U76" s="51"/>
      <c r="V76" s="107"/>
      <c r="W76" s="107"/>
      <c r="X76" s="54">
        <v>0</v>
      </c>
      <c r="Y76" s="54">
        <v>0</v>
      </c>
      <c r="Z76" s="55">
        <v>0</v>
      </c>
      <c r="AA76" s="3"/>
      <c r="AB76" s="117"/>
      <c r="AD76" s="117"/>
      <c r="AE76" s="117"/>
      <c r="AF76" s="117"/>
      <c r="AG76" s="117"/>
      <c r="AJ76" s="1"/>
      <c r="AK76" s="115"/>
      <c r="AL76" s="121"/>
      <c r="AM76" s="123"/>
      <c r="AN76" s="123"/>
      <c r="AQ76" s="11"/>
      <c r="AR76" s="12"/>
    </row>
    <row r="77" spans="1:44">
      <c r="A77" s="88"/>
      <c r="B77" s="129"/>
      <c r="C77" s="107"/>
      <c r="D77" s="130"/>
      <c r="E77" s="120"/>
      <c r="F77" s="43">
        <v>0</v>
      </c>
      <c r="G77" s="44">
        <v>0</v>
      </c>
      <c r="H77" s="45">
        <v>0</v>
      </c>
      <c r="I77" s="46">
        <v>0</v>
      </c>
      <c r="J77" s="46">
        <v>0</v>
      </c>
      <c r="K77" s="46">
        <v>0</v>
      </c>
      <c r="L77" s="46">
        <v>0</v>
      </c>
      <c r="M77" s="46">
        <v>0</v>
      </c>
      <c r="N77" s="46">
        <v>0</v>
      </c>
      <c r="O77" s="46">
        <v>0</v>
      </c>
      <c r="P77" s="2"/>
      <c r="Q77" s="47"/>
      <c r="R77" s="48"/>
      <c r="S77" s="49"/>
      <c r="T77" s="50"/>
      <c r="U77" s="51"/>
      <c r="V77" s="107"/>
      <c r="W77" s="107"/>
      <c r="X77" s="54">
        <v>0</v>
      </c>
      <c r="Y77" s="54">
        <v>0</v>
      </c>
      <c r="Z77" s="55">
        <v>0</v>
      </c>
      <c r="AA77" s="3"/>
      <c r="AB77" s="117"/>
      <c r="AD77" s="117"/>
      <c r="AE77" s="117"/>
      <c r="AF77" s="117"/>
      <c r="AG77" s="117"/>
      <c r="AJ77" s="1"/>
      <c r="AK77" s="115"/>
      <c r="AL77" s="121"/>
      <c r="AM77" s="123"/>
      <c r="AN77" s="123"/>
      <c r="AQ77" s="11"/>
      <c r="AR77" s="12"/>
    </row>
    <row r="78" spans="1:44">
      <c r="A78" s="88"/>
      <c r="B78" s="129"/>
      <c r="C78" s="107"/>
      <c r="D78" s="130"/>
      <c r="E78" s="120"/>
      <c r="F78" s="43">
        <v>0</v>
      </c>
      <c r="G78" s="44">
        <v>0</v>
      </c>
      <c r="H78" s="45">
        <v>0</v>
      </c>
      <c r="I78" s="46">
        <v>0</v>
      </c>
      <c r="J78" s="46">
        <v>0</v>
      </c>
      <c r="K78" s="46">
        <v>0</v>
      </c>
      <c r="L78" s="46">
        <v>0</v>
      </c>
      <c r="M78" s="46">
        <v>0</v>
      </c>
      <c r="N78" s="46">
        <v>0</v>
      </c>
      <c r="O78" s="46">
        <v>0</v>
      </c>
      <c r="P78" s="2"/>
      <c r="Q78" s="47"/>
      <c r="R78" s="48"/>
      <c r="S78" s="49"/>
      <c r="T78" s="50"/>
      <c r="U78" s="51"/>
      <c r="V78" s="107"/>
      <c r="W78" s="107"/>
      <c r="X78" s="54">
        <v>0</v>
      </c>
      <c r="Y78" s="54">
        <v>0</v>
      </c>
      <c r="Z78" s="55">
        <v>0</v>
      </c>
      <c r="AA78" s="3"/>
      <c r="AB78" s="117"/>
      <c r="AD78" s="117"/>
      <c r="AE78" s="117"/>
      <c r="AF78" s="117"/>
      <c r="AG78" s="117"/>
      <c r="AJ78" s="1"/>
      <c r="AK78" s="115"/>
      <c r="AL78" s="121"/>
      <c r="AM78" s="123"/>
      <c r="AN78" s="123"/>
      <c r="AQ78" s="11"/>
      <c r="AR78" s="12"/>
    </row>
    <row r="79" spans="1:44">
      <c r="A79" s="88"/>
      <c r="B79" s="129"/>
      <c r="C79" s="107"/>
      <c r="D79" s="130"/>
      <c r="E79" s="120"/>
      <c r="F79" s="43">
        <v>0</v>
      </c>
      <c r="G79" s="44">
        <v>0</v>
      </c>
      <c r="H79" s="45">
        <v>0</v>
      </c>
      <c r="I79" s="46">
        <v>0</v>
      </c>
      <c r="J79" s="46">
        <v>0</v>
      </c>
      <c r="K79" s="46">
        <v>0</v>
      </c>
      <c r="L79" s="46">
        <v>0</v>
      </c>
      <c r="M79" s="46">
        <v>0</v>
      </c>
      <c r="N79" s="46">
        <v>0</v>
      </c>
      <c r="O79" s="46">
        <v>0</v>
      </c>
      <c r="P79" s="2"/>
      <c r="Q79" s="47"/>
      <c r="R79" s="48"/>
      <c r="S79" s="49"/>
      <c r="T79" s="50"/>
      <c r="U79" s="51"/>
      <c r="V79" s="107"/>
      <c r="W79" s="107"/>
      <c r="X79" s="54">
        <v>0</v>
      </c>
      <c r="Y79" s="54">
        <v>0</v>
      </c>
      <c r="Z79" s="55">
        <v>0</v>
      </c>
      <c r="AA79" s="3"/>
      <c r="AB79" s="117"/>
      <c r="AD79" s="117"/>
      <c r="AE79" s="117"/>
      <c r="AF79" s="117"/>
      <c r="AG79" s="117"/>
      <c r="AJ79" s="1"/>
      <c r="AK79" s="115"/>
      <c r="AL79" s="121"/>
      <c r="AM79" s="123"/>
      <c r="AN79" s="123"/>
      <c r="AQ79" s="11"/>
      <c r="AR79" s="12"/>
    </row>
    <row r="80" spans="1:44">
      <c r="A80" s="88"/>
      <c r="B80" s="129"/>
      <c r="C80" s="107"/>
      <c r="D80" s="130"/>
      <c r="E80" s="120"/>
      <c r="F80" s="43">
        <v>0</v>
      </c>
      <c r="G80" s="44">
        <v>0</v>
      </c>
      <c r="H80" s="45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v>0</v>
      </c>
      <c r="O80" s="46">
        <v>0</v>
      </c>
      <c r="P80" s="2"/>
      <c r="Q80" s="47"/>
      <c r="R80" s="48"/>
      <c r="S80" s="49"/>
      <c r="T80" s="50"/>
      <c r="U80" s="51"/>
      <c r="V80" s="107"/>
      <c r="W80" s="107"/>
      <c r="X80" s="54">
        <v>0</v>
      </c>
      <c r="Y80" s="54">
        <v>0</v>
      </c>
      <c r="Z80" s="55">
        <v>0</v>
      </c>
      <c r="AA80" s="3"/>
      <c r="AB80" s="117"/>
      <c r="AD80" s="117"/>
      <c r="AE80" s="117"/>
      <c r="AF80" s="117"/>
      <c r="AG80" s="117"/>
      <c r="AJ80" s="1"/>
      <c r="AK80" s="115"/>
      <c r="AL80" s="121"/>
      <c r="AM80" s="123"/>
      <c r="AN80" s="123"/>
      <c r="AQ80" s="11"/>
      <c r="AR80" s="12"/>
    </row>
    <row r="81" spans="1:44">
      <c r="A81" s="88"/>
      <c r="B81" s="129"/>
      <c r="C81" s="107"/>
      <c r="D81" s="130"/>
      <c r="E81" s="120"/>
      <c r="F81" s="43">
        <v>0</v>
      </c>
      <c r="G81" s="44">
        <v>0</v>
      </c>
      <c r="H81" s="45">
        <v>0</v>
      </c>
      <c r="I81" s="46">
        <v>0</v>
      </c>
      <c r="J81" s="46">
        <v>0</v>
      </c>
      <c r="K81" s="46">
        <v>0</v>
      </c>
      <c r="L81" s="46">
        <v>0</v>
      </c>
      <c r="M81" s="46">
        <v>0</v>
      </c>
      <c r="N81" s="46">
        <v>0</v>
      </c>
      <c r="O81" s="46">
        <v>0</v>
      </c>
      <c r="P81" s="2"/>
      <c r="Q81" s="47"/>
      <c r="R81" s="48"/>
      <c r="S81" s="49"/>
      <c r="T81" s="50"/>
      <c r="U81" s="51"/>
      <c r="V81" s="107"/>
      <c r="W81" s="107"/>
      <c r="X81" s="54">
        <v>0</v>
      </c>
      <c r="Y81" s="54">
        <v>0</v>
      </c>
      <c r="Z81" s="55">
        <v>0</v>
      </c>
      <c r="AA81" s="3"/>
      <c r="AB81" s="117"/>
      <c r="AD81" s="117"/>
      <c r="AE81" s="117"/>
      <c r="AF81" s="117"/>
      <c r="AG81" s="117"/>
      <c r="AJ81" s="1"/>
      <c r="AK81" s="115"/>
      <c r="AL81" s="121"/>
      <c r="AM81" s="123"/>
      <c r="AN81" s="123"/>
      <c r="AQ81" s="11"/>
      <c r="AR81" s="12"/>
    </row>
    <row r="82" spans="1:44">
      <c r="A82" s="88"/>
      <c r="B82" s="129"/>
      <c r="C82" s="107"/>
      <c r="D82" s="130"/>
      <c r="E82" s="120"/>
      <c r="F82" s="43">
        <v>0</v>
      </c>
      <c r="G82" s="44">
        <v>0</v>
      </c>
      <c r="H82" s="45">
        <v>0</v>
      </c>
      <c r="I82" s="46">
        <v>0</v>
      </c>
      <c r="J82" s="46">
        <v>0</v>
      </c>
      <c r="K82" s="46">
        <v>0</v>
      </c>
      <c r="L82" s="46">
        <v>0</v>
      </c>
      <c r="M82" s="46">
        <v>0</v>
      </c>
      <c r="N82" s="46">
        <v>0</v>
      </c>
      <c r="O82" s="46">
        <v>0</v>
      </c>
      <c r="P82" s="2"/>
      <c r="Q82" s="47"/>
      <c r="R82" s="48"/>
      <c r="S82" s="49"/>
      <c r="T82" s="50"/>
      <c r="U82" s="51"/>
      <c r="V82" s="107"/>
      <c r="W82" s="107"/>
      <c r="X82" s="54">
        <v>0</v>
      </c>
      <c r="Y82" s="54">
        <v>0</v>
      </c>
      <c r="Z82" s="55">
        <v>0</v>
      </c>
      <c r="AA82" s="3"/>
      <c r="AB82" s="117"/>
      <c r="AD82" s="117"/>
      <c r="AE82" s="117"/>
      <c r="AF82" s="117"/>
      <c r="AG82" s="117"/>
      <c r="AJ82" s="1"/>
      <c r="AK82" s="115"/>
      <c r="AL82" s="121"/>
      <c r="AM82" s="123"/>
      <c r="AN82" s="123"/>
      <c r="AQ82" s="11"/>
      <c r="AR82" s="12"/>
    </row>
    <row r="83" spans="1:44">
      <c r="A83" s="88"/>
      <c r="B83" s="129"/>
      <c r="C83" s="107"/>
      <c r="D83" s="130"/>
      <c r="E83" s="120"/>
      <c r="F83" s="43">
        <v>0</v>
      </c>
      <c r="G83" s="44">
        <v>0</v>
      </c>
      <c r="H83" s="45">
        <v>0</v>
      </c>
      <c r="I83" s="46">
        <v>0</v>
      </c>
      <c r="J83" s="46">
        <v>0</v>
      </c>
      <c r="K83" s="46">
        <v>0</v>
      </c>
      <c r="L83" s="46">
        <v>0</v>
      </c>
      <c r="M83" s="46">
        <v>0</v>
      </c>
      <c r="N83" s="46">
        <v>0</v>
      </c>
      <c r="O83" s="46">
        <v>0</v>
      </c>
      <c r="P83" s="2"/>
      <c r="Q83" s="47"/>
      <c r="R83" s="48"/>
      <c r="S83" s="49"/>
      <c r="T83" s="50"/>
      <c r="U83" s="51"/>
      <c r="V83" s="107"/>
      <c r="W83" s="107"/>
      <c r="X83" s="54">
        <v>0</v>
      </c>
      <c r="Y83" s="54">
        <v>0</v>
      </c>
      <c r="Z83" s="55">
        <v>0</v>
      </c>
      <c r="AA83" s="3"/>
      <c r="AB83" s="117"/>
      <c r="AD83" s="117"/>
      <c r="AE83" s="117"/>
      <c r="AF83" s="117"/>
      <c r="AG83" s="117"/>
      <c r="AJ83" s="1"/>
      <c r="AK83" s="115"/>
      <c r="AL83" s="121"/>
      <c r="AM83" s="123"/>
      <c r="AN83" s="123"/>
      <c r="AQ83" s="11"/>
      <c r="AR83" s="12"/>
    </row>
    <row r="84" spans="1:44">
      <c r="A84" s="88"/>
      <c r="B84" s="129"/>
      <c r="C84" s="107"/>
      <c r="D84" s="130"/>
      <c r="E84" s="120"/>
      <c r="F84" s="43">
        <v>0</v>
      </c>
      <c r="G84" s="44">
        <v>0</v>
      </c>
      <c r="H84" s="45">
        <v>0</v>
      </c>
      <c r="I84" s="46">
        <v>0</v>
      </c>
      <c r="J84" s="46">
        <v>0</v>
      </c>
      <c r="K84" s="46">
        <v>0</v>
      </c>
      <c r="L84" s="46">
        <v>0</v>
      </c>
      <c r="M84" s="46">
        <v>0</v>
      </c>
      <c r="N84" s="46">
        <v>0</v>
      </c>
      <c r="O84" s="46">
        <v>0</v>
      </c>
      <c r="P84" s="2"/>
      <c r="Q84" s="47"/>
      <c r="R84" s="48"/>
      <c r="S84" s="49"/>
      <c r="T84" s="50"/>
      <c r="U84" s="51"/>
      <c r="V84" s="107"/>
      <c r="W84" s="107"/>
      <c r="X84" s="54">
        <v>0</v>
      </c>
      <c r="Y84" s="54">
        <v>0</v>
      </c>
      <c r="Z84" s="55">
        <v>0</v>
      </c>
      <c r="AA84" s="3"/>
      <c r="AB84" s="117"/>
      <c r="AD84" s="117"/>
      <c r="AE84" s="117"/>
      <c r="AF84" s="117"/>
      <c r="AG84" s="117"/>
      <c r="AJ84" s="1"/>
      <c r="AK84" s="115"/>
      <c r="AL84" s="121"/>
      <c r="AM84" s="123"/>
      <c r="AN84" s="123"/>
      <c r="AQ84" s="11"/>
      <c r="AR84" s="12"/>
    </row>
    <row r="85" spans="1:44">
      <c r="A85" s="88"/>
      <c r="B85" s="129"/>
      <c r="C85" s="107"/>
      <c r="D85" s="130"/>
      <c r="E85" s="120"/>
      <c r="F85" s="43">
        <v>0</v>
      </c>
      <c r="G85" s="44">
        <v>0</v>
      </c>
      <c r="H85" s="45">
        <v>0</v>
      </c>
      <c r="I85" s="46">
        <v>0</v>
      </c>
      <c r="J85" s="46">
        <v>0</v>
      </c>
      <c r="K85" s="46">
        <v>0</v>
      </c>
      <c r="L85" s="46">
        <v>0</v>
      </c>
      <c r="M85" s="46">
        <v>0</v>
      </c>
      <c r="N85" s="46">
        <v>0</v>
      </c>
      <c r="O85" s="46">
        <v>0</v>
      </c>
      <c r="P85" s="2"/>
      <c r="Q85" s="47"/>
      <c r="R85" s="48"/>
      <c r="S85" s="49"/>
      <c r="T85" s="50"/>
      <c r="U85" s="51"/>
      <c r="V85" s="107"/>
      <c r="W85" s="107"/>
      <c r="X85" s="54">
        <v>0</v>
      </c>
      <c r="Y85" s="54">
        <v>0</v>
      </c>
      <c r="Z85" s="55">
        <v>0</v>
      </c>
      <c r="AA85" s="3"/>
      <c r="AB85" s="117"/>
      <c r="AD85" s="117"/>
      <c r="AE85" s="117"/>
      <c r="AF85" s="117"/>
      <c r="AG85" s="117"/>
      <c r="AJ85" s="1"/>
      <c r="AK85" s="115"/>
      <c r="AL85" s="121"/>
      <c r="AM85" s="123"/>
      <c r="AN85" s="123"/>
      <c r="AQ85" s="11"/>
      <c r="AR85" s="12"/>
    </row>
    <row r="86" spans="1:44">
      <c r="A86" s="88"/>
      <c r="B86" s="129"/>
      <c r="C86" s="107"/>
      <c r="D86" s="130"/>
      <c r="E86" s="120"/>
      <c r="F86" s="43">
        <v>0</v>
      </c>
      <c r="G86" s="44">
        <v>0</v>
      </c>
      <c r="H86" s="45">
        <v>0</v>
      </c>
      <c r="I86" s="46">
        <v>0</v>
      </c>
      <c r="J86" s="46">
        <v>0</v>
      </c>
      <c r="K86" s="46">
        <v>0</v>
      </c>
      <c r="L86" s="46">
        <v>0</v>
      </c>
      <c r="M86" s="46">
        <v>0</v>
      </c>
      <c r="N86" s="46">
        <v>0</v>
      </c>
      <c r="O86" s="46">
        <v>0</v>
      </c>
      <c r="P86" s="2"/>
      <c r="Q86" s="47"/>
      <c r="R86" s="48"/>
      <c r="S86" s="49"/>
      <c r="T86" s="50"/>
      <c r="U86" s="51"/>
      <c r="V86" s="107"/>
      <c r="W86" s="107"/>
      <c r="X86" s="54">
        <v>0</v>
      </c>
      <c r="Y86" s="54">
        <v>0</v>
      </c>
      <c r="Z86" s="55">
        <v>0</v>
      </c>
      <c r="AA86" s="3"/>
      <c r="AB86" s="117"/>
      <c r="AD86" s="117"/>
      <c r="AE86" s="117"/>
      <c r="AF86" s="117"/>
      <c r="AG86" s="117"/>
      <c r="AJ86" s="1"/>
      <c r="AK86" s="115"/>
      <c r="AL86" s="121"/>
      <c r="AM86" s="123"/>
      <c r="AN86" s="123"/>
      <c r="AQ86" s="11"/>
      <c r="AR86" s="12"/>
    </row>
    <row r="87" spans="1:44">
      <c r="A87" s="88"/>
      <c r="B87" s="129"/>
      <c r="C87" s="107"/>
      <c r="D87" s="130"/>
      <c r="E87" s="120"/>
      <c r="F87" s="43">
        <v>0</v>
      </c>
      <c r="G87" s="44">
        <v>0</v>
      </c>
      <c r="H87" s="45">
        <v>0</v>
      </c>
      <c r="I87" s="46">
        <v>0</v>
      </c>
      <c r="J87" s="46">
        <v>0</v>
      </c>
      <c r="K87" s="46">
        <v>0</v>
      </c>
      <c r="L87" s="46">
        <v>0</v>
      </c>
      <c r="M87" s="46">
        <v>0</v>
      </c>
      <c r="N87" s="46">
        <v>0</v>
      </c>
      <c r="O87" s="46">
        <v>0</v>
      </c>
      <c r="P87" s="2"/>
      <c r="Q87" s="47"/>
      <c r="R87" s="48"/>
      <c r="S87" s="49"/>
      <c r="T87" s="50"/>
      <c r="U87" s="51"/>
      <c r="V87" s="107"/>
      <c r="W87" s="107"/>
      <c r="X87" s="54">
        <v>0</v>
      </c>
      <c r="Y87" s="54">
        <v>0</v>
      </c>
      <c r="Z87" s="55">
        <v>0</v>
      </c>
      <c r="AA87" s="3"/>
      <c r="AB87" s="117"/>
      <c r="AD87" s="117"/>
      <c r="AE87" s="117"/>
      <c r="AF87" s="117"/>
      <c r="AG87" s="117"/>
      <c r="AJ87" s="1"/>
      <c r="AK87" s="115"/>
      <c r="AL87" s="121"/>
      <c r="AM87" s="123"/>
      <c r="AN87" s="123"/>
      <c r="AQ87" s="11"/>
      <c r="AR87" s="12"/>
    </row>
    <row r="88" spans="1:44">
      <c r="A88" s="88"/>
      <c r="B88" s="129"/>
      <c r="C88" s="107"/>
      <c r="D88" s="130"/>
      <c r="E88" s="120"/>
      <c r="F88" s="43">
        <v>0</v>
      </c>
      <c r="G88" s="44">
        <v>0</v>
      </c>
      <c r="H88" s="45">
        <v>0</v>
      </c>
      <c r="I88" s="46">
        <v>0</v>
      </c>
      <c r="J88" s="46">
        <v>0</v>
      </c>
      <c r="K88" s="46">
        <v>0</v>
      </c>
      <c r="L88" s="46">
        <v>0</v>
      </c>
      <c r="M88" s="46">
        <v>0</v>
      </c>
      <c r="N88" s="46">
        <v>0</v>
      </c>
      <c r="O88" s="46">
        <v>0</v>
      </c>
      <c r="P88" s="2"/>
      <c r="Q88" s="47"/>
      <c r="R88" s="48"/>
      <c r="S88" s="49"/>
      <c r="T88" s="50"/>
      <c r="U88" s="51"/>
      <c r="V88" s="107"/>
      <c r="W88" s="107"/>
      <c r="X88" s="54">
        <v>0</v>
      </c>
      <c r="Y88" s="54">
        <v>0</v>
      </c>
      <c r="Z88" s="55">
        <v>0</v>
      </c>
      <c r="AA88" s="3"/>
      <c r="AB88" s="117"/>
      <c r="AD88" s="117"/>
      <c r="AE88" s="117"/>
      <c r="AF88" s="117"/>
      <c r="AG88" s="117"/>
      <c r="AJ88" s="1"/>
      <c r="AK88" s="115"/>
      <c r="AL88" s="121"/>
      <c r="AM88" s="123"/>
      <c r="AN88" s="123"/>
      <c r="AQ88" s="11"/>
      <c r="AR88" s="12"/>
    </row>
    <row r="89" spans="1:44">
      <c r="A89" s="88"/>
      <c r="B89" s="129"/>
      <c r="C89" s="107"/>
      <c r="D89" s="130"/>
      <c r="E89" s="120"/>
      <c r="F89" s="43">
        <v>0</v>
      </c>
      <c r="G89" s="44">
        <v>0</v>
      </c>
      <c r="H89" s="45">
        <v>0</v>
      </c>
      <c r="I89" s="46">
        <v>0</v>
      </c>
      <c r="J89" s="46">
        <v>0</v>
      </c>
      <c r="K89" s="46">
        <v>0</v>
      </c>
      <c r="L89" s="46">
        <v>0</v>
      </c>
      <c r="M89" s="46">
        <v>0</v>
      </c>
      <c r="N89" s="46">
        <v>0</v>
      </c>
      <c r="O89" s="46">
        <v>0</v>
      </c>
      <c r="P89" s="2"/>
      <c r="Q89" s="47"/>
      <c r="R89" s="48"/>
      <c r="S89" s="49"/>
      <c r="T89" s="50"/>
      <c r="U89" s="51"/>
      <c r="V89" s="107"/>
      <c r="W89" s="107"/>
      <c r="X89" s="54">
        <v>0</v>
      </c>
      <c r="Y89" s="54">
        <v>0</v>
      </c>
      <c r="Z89" s="55">
        <v>0</v>
      </c>
      <c r="AA89" s="3"/>
      <c r="AB89" s="117"/>
      <c r="AD89" s="117"/>
      <c r="AE89" s="117"/>
      <c r="AF89" s="117"/>
      <c r="AG89" s="117"/>
      <c r="AJ89" s="1"/>
      <c r="AK89" s="115"/>
      <c r="AL89" s="121"/>
      <c r="AM89" s="123"/>
      <c r="AN89" s="123"/>
      <c r="AQ89" s="11"/>
      <c r="AR89" s="12"/>
    </row>
    <row r="90" spans="1:44">
      <c r="A90" s="88"/>
      <c r="B90" s="129"/>
      <c r="C90" s="107"/>
      <c r="D90" s="130"/>
      <c r="E90" s="120"/>
      <c r="F90" s="43">
        <v>0</v>
      </c>
      <c r="G90" s="44">
        <v>0</v>
      </c>
      <c r="H90" s="45">
        <v>0</v>
      </c>
      <c r="I90" s="46">
        <v>0</v>
      </c>
      <c r="J90" s="46">
        <v>0</v>
      </c>
      <c r="K90" s="46">
        <v>0</v>
      </c>
      <c r="L90" s="46">
        <v>0</v>
      </c>
      <c r="M90" s="46">
        <v>0</v>
      </c>
      <c r="N90" s="46">
        <v>0</v>
      </c>
      <c r="O90" s="46">
        <v>0</v>
      </c>
      <c r="P90" s="2"/>
      <c r="Q90" s="47"/>
      <c r="R90" s="48"/>
      <c r="S90" s="49"/>
      <c r="T90" s="50"/>
      <c r="U90" s="51"/>
      <c r="V90" s="107"/>
      <c r="W90" s="107"/>
      <c r="X90" s="54">
        <v>0</v>
      </c>
      <c r="Y90" s="54">
        <v>0</v>
      </c>
      <c r="Z90" s="55">
        <v>0</v>
      </c>
      <c r="AA90" s="3"/>
      <c r="AB90" s="117"/>
      <c r="AD90" s="117"/>
      <c r="AE90" s="117"/>
      <c r="AF90" s="117"/>
      <c r="AG90" s="117"/>
      <c r="AJ90" s="1"/>
      <c r="AK90" s="115"/>
      <c r="AL90" s="121"/>
      <c r="AM90" s="123"/>
      <c r="AN90" s="123"/>
      <c r="AQ90" s="11"/>
      <c r="AR90" s="12"/>
    </row>
    <row r="91" spans="1:44">
      <c r="A91" s="88"/>
      <c r="B91" s="129"/>
      <c r="C91" s="107"/>
      <c r="D91" s="130"/>
      <c r="E91" s="120"/>
      <c r="F91" s="43">
        <v>0</v>
      </c>
      <c r="G91" s="44">
        <v>0</v>
      </c>
      <c r="H91" s="45">
        <v>0</v>
      </c>
      <c r="I91" s="46">
        <v>0</v>
      </c>
      <c r="J91" s="46">
        <v>0</v>
      </c>
      <c r="K91" s="46">
        <v>0</v>
      </c>
      <c r="L91" s="46">
        <v>0</v>
      </c>
      <c r="M91" s="46">
        <v>0</v>
      </c>
      <c r="N91" s="46">
        <v>0</v>
      </c>
      <c r="O91" s="46">
        <v>0</v>
      </c>
      <c r="P91" s="2"/>
      <c r="Q91" s="47"/>
      <c r="R91" s="48"/>
      <c r="S91" s="49"/>
      <c r="T91" s="50"/>
      <c r="U91" s="51"/>
      <c r="V91" s="107"/>
      <c r="W91" s="107"/>
      <c r="X91" s="54">
        <v>0</v>
      </c>
      <c r="Y91" s="54">
        <v>0</v>
      </c>
      <c r="Z91" s="55">
        <v>0</v>
      </c>
      <c r="AA91" s="3"/>
      <c r="AB91" s="117"/>
      <c r="AD91" s="117"/>
      <c r="AE91" s="117"/>
      <c r="AF91" s="117"/>
      <c r="AG91" s="117"/>
      <c r="AJ91" s="1"/>
      <c r="AK91" s="115"/>
      <c r="AL91" s="121"/>
      <c r="AM91" s="123"/>
      <c r="AN91" s="123"/>
      <c r="AQ91" s="11"/>
      <c r="AR91" s="12"/>
    </row>
    <row r="92" spans="1:44">
      <c r="A92" s="88"/>
      <c r="B92" s="129"/>
      <c r="C92" s="107"/>
      <c r="D92" s="130"/>
      <c r="E92" s="120"/>
      <c r="F92" s="132">
        <f>SUM(F2:F91)</f>
        <v>585308</v>
      </c>
      <c r="G92" s="132">
        <f t="shared" ref="G92:O92" si="0">SUM(G2:G91)</f>
        <v>100000</v>
      </c>
      <c r="H92" s="132">
        <f t="shared" si="0"/>
        <v>0</v>
      </c>
      <c r="I92" s="132">
        <f t="shared" si="0"/>
        <v>0</v>
      </c>
      <c r="J92" s="132">
        <f t="shared" si="0"/>
        <v>0</v>
      </c>
      <c r="K92" s="132">
        <f t="shared" si="0"/>
        <v>100</v>
      </c>
      <c r="L92" s="132">
        <f t="shared" si="0"/>
        <v>0</v>
      </c>
      <c r="M92" s="132">
        <f t="shared" si="0"/>
        <v>0</v>
      </c>
      <c r="N92" s="132">
        <f t="shared" si="0"/>
        <v>0</v>
      </c>
      <c r="O92" s="132">
        <f t="shared" si="0"/>
        <v>0</v>
      </c>
      <c r="P92" s="2"/>
      <c r="Q92" s="133" t="s">
        <v>55</v>
      </c>
      <c r="R92" s="134"/>
      <c r="S92" s="134"/>
      <c r="T92" s="134"/>
      <c r="U92" s="134"/>
      <c r="V92" s="134"/>
      <c r="W92" s="135"/>
      <c r="X92" s="136">
        <f>SUM(X3:X91)</f>
        <v>338944</v>
      </c>
      <c r="Y92" s="136">
        <f>SUM(Y3:Y91)</f>
        <v>0</v>
      </c>
      <c r="Z92" s="136">
        <f>SUM(Z3:Z91)</f>
        <v>0</v>
      </c>
      <c r="AA92" s="3"/>
      <c r="AB92" s="117"/>
      <c r="AC92" s="117"/>
      <c r="AD92" s="117"/>
      <c r="AE92" s="117"/>
      <c r="AF92" s="117"/>
      <c r="AG92" s="117"/>
      <c r="AH92" s="137"/>
      <c r="AI92" s="115"/>
      <c r="AJ92" s="1"/>
      <c r="AK92" s="115"/>
      <c r="AL92" s="121"/>
      <c r="AM92" s="123"/>
      <c r="AN92" s="123"/>
      <c r="AQ92" s="11"/>
      <c r="AR92" s="12"/>
    </row>
    <row r="93" spans="1:44">
      <c r="A93" s="138"/>
      <c r="B93" s="139"/>
      <c r="C93" s="140"/>
      <c r="D93" s="141"/>
      <c r="E93" s="142"/>
      <c r="F93" s="142"/>
      <c r="G93" s="143">
        <f>G92/511</f>
        <v>195.69471624266146</v>
      </c>
      <c r="H93" s="143"/>
      <c r="I93" s="143"/>
      <c r="J93" s="143"/>
      <c r="K93" s="143"/>
      <c r="L93" s="143"/>
      <c r="M93" s="143"/>
      <c r="N93" s="143"/>
      <c r="O93" s="143">
        <f>F92+G93+H92+I92+J92+K92+L92+M92+N92+O92</f>
        <v>585603.69471624261</v>
      </c>
      <c r="P93" s="2"/>
      <c r="Q93" s="144"/>
      <c r="R93" s="145"/>
      <c r="S93" s="145"/>
      <c r="T93" s="145"/>
      <c r="U93" s="145"/>
      <c r="V93" s="145"/>
      <c r="W93" s="146"/>
      <c r="X93" s="147">
        <f>X92/497</f>
        <v>681.97987927565396</v>
      </c>
      <c r="Y93" s="147">
        <f>Y92/497</f>
        <v>0</v>
      </c>
      <c r="Z93" s="148">
        <f>Z92+X93+Y93</f>
        <v>681.97987927565396</v>
      </c>
      <c r="AA93" s="3"/>
      <c r="AI93" s="115"/>
      <c r="AJ93" s="1"/>
      <c r="AK93" s="115"/>
      <c r="AL93" s="149"/>
      <c r="AM93" s="150"/>
      <c r="AN93" s="150"/>
      <c r="AQ93" s="11"/>
      <c r="AR93" s="12"/>
    </row>
  </sheetData>
  <mergeCells count="33">
    <mergeCell ref="AK16:AL16"/>
    <mergeCell ref="AM16:AN16"/>
    <mergeCell ref="Q92:W92"/>
    <mergeCell ref="Q93:W93"/>
    <mergeCell ref="AK11:AN12"/>
    <mergeCell ref="AK13:AL13"/>
    <mergeCell ref="AM13:AN13"/>
    <mergeCell ref="AK14:AL14"/>
    <mergeCell ref="AM14:AN14"/>
    <mergeCell ref="AK15:AL15"/>
    <mergeCell ref="AM15:AN15"/>
    <mergeCell ref="AK8:AL8"/>
    <mergeCell ref="AM8:AN8"/>
    <mergeCell ref="AK9:AL9"/>
    <mergeCell ref="AM9:AN9"/>
    <mergeCell ref="AK10:AL10"/>
    <mergeCell ref="AM10:AN10"/>
    <mergeCell ref="AK5:AL5"/>
    <mergeCell ref="AM5:AN5"/>
    <mergeCell ref="AK6:AL6"/>
    <mergeCell ref="AM6:AN6"/>
    <mergeCell ref="AK7:AL7"/>
    <mergeCell ref="AM7:AN7"/>
    <mergeCell ref="A1:O1"/>
    <mergeCell ref="Q1:Z1"/>
    <mergeCell ref="AB1:AI1"/>
    <mergeCell ref="AJ1:AJ93"/>
    <mergeCell ref="AK1:AN2"/>
    <mergeCell ref="AQ1:AQ93"/>
    <mergeCell ref="AK3:AL3"/>
    <mergeCell ref="AM3:AN3"/>
    <mergeCell ref="AK4:AL4"/>
    <mergeCell ref="AM4:AN4"/>
  </mergeCells>
  <dataValidations count="4">
    <dataValidation allowBlank="1" showInputMessage="1" showErrorMessage="1" sqref="F93:O93 X93:Y93 R21:S93 F2:O2 D33:D36 D2 R1:S3 R17:S19 R6:S15 D10 D92:D93 D19 D14:D15 H3:O91" xr:uid="{CCD59B9D-88B5-4B63-80ED-3C04406380CA}"/>
    <dataValidation type="list" allowBlank="1" showInputMessage="1" showErrorMessage="1" sqref="AG16 AG22 AG32:AG93 AG2:AG3 AG8:AG13" xr:uid="{404EC5D6-21F0-438B-85CF-D8B2F673B411}">
      <formula1>$AP$1:$AP$2</formula1>
    </dataValidation>
    <dataValidation type="list" allowBlank="1" showInputMessage="1" showErrorMessage="1" sqref="AE16 B15:B16 B19 AE8:AE13 B2 B4:B9 AE22 B92:B93 U17:U19 U6:U15 U2:U3 AE32:AE93 B11:B13 B27 U21:U91 B30:B36 AE2:AE3" xr:uid="{925AADA0-8386-44D7-B095-885A18F07454}">
      <formula1>$AO$1:$AO$2</formula1>
    </dataValidation>
    <dataValidation type="list" allowBlank="1" showInputMessage="1" showErrorMessage="1" sqref="W1:W1048576" xr:uid="{B5778FCD-59AC-49CF-949F-B395E5E61529}">
      <formula1>$AP$1:$AP$3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Cafe Playa Negra</cp:lastModifiedBy>
  <cp:revision/>
  <dcterms:created xsi:type="dcterms:W3CDTF">2025-07-03T22:00:33Z</dcterms:created>
  <dcterms:modified xsi:type="dcterms:W3CDTF">2025-07-03T22:04:18Z</dcterms:modified>
  <cp:category/>
  <cp:contentStatus/>
</cp:coreProperties>
</file>